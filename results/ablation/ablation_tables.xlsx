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nk_TGIF" sheetId="2" state="visible" r:id="rId4"/>
    <sheet name="Resolution_TGIF" sheetId="3" state="visible" r:id="rId5"/>
    <sheet name="IMD_vs_TGIF" sheetId="4" state="visible" r:id="rId6"/>
    <sheet name="PerCell_Rank" sheetId="5" state="visible" r:id="rId7"/>
    <sheet name="PerCell_Res" sheetId="6" state="visible" r:id="rId8"/>
    <sheet name="Zoom_vs_NoZoom" sheetId="7" state="visible" r:id="rId9"/>
    <sheet name="Zoom_by_Size" sheetId="8" state="visible" r:id="rId10"/>
    <sheet name="PerCell_ZoomBenefit" sheetId="9" state="visible" r:id="rId11"/>
    <sheet name="Cost_vs_Perf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<sst xmlns="http://schemas.openxmlformats.org/spreadsheetml/2006/main" count="371" uniqueCount="151">
  <si>
    <t xml:space="preserve">DINO_SCOPE — Ablation analysis tables</t>
  </si>
  <si>
    <t xml:space="preserve">Built from results/ablation/ablation_eval per-run eval_summary.json + rollup_percell CSVs. Every chart in /plots has a backing sheet here.</t>
  </si>
  <si>
    <t xml:space="preserve">METRIC CONVENTIONS (read me)</t>
  </si>
  <si>
    <t xml:space="preserve">• Headline metrics report the MEAN over images: F1 (mean), IoU (mean), Prec (mean), Rec (mean). Column headers state the statistic explicitly.</t>
  </si>
  <si>
    <t xml:space="preserve">• AUC (image) is image-level ROC-AUC (single value, no mean/median). Reals acc = accuracy on real images.</t>
  </si>
  <si>
    <t xml:space="preserve">• Per-size bucket F1 (tiny/small/medium/large) is the MEAN within each bucket, parsed from the eval orchestrator.log (eval_summary.json only stored bucket medians). Verified: log medians match the stored medians exactly.</t>
  </si>
  <si>
    <t xml:space="preserve">• Per-cell rollups are single pre-computed values per generator cell, used as provided.</t>
  </si>
  <si>
    <t xml:space="preserve">• Hardcoded cells = measured results. Every Δ (delta) column is a live Excel formula so you can edit inputs and watch it recompute.</t>
  </si>
  <si>
    <t xml:space="preserve">SHEET INDEX</t>
  </si>
  <si>
    <t xml:space="preserve">• Rank_TGIF — LoRA rank vs TGIF (chart 01).   • Resolution_TGIF — resolution vs TGIF, zoom-on + nozoom (chart 02).</t>
  </si>
  <si>
    <t xml:space="preserve">• IMD_vs_TGIF — IMD vs TGIF per setting (chart 06).   • PerCell_Rank / PerCell_Res — per generator cell.</t>
  </si>
  <si>
    <t xml:space="preserve">• Zoom_vs_NoZoom — zoom-on vs zoom-off across resolution (chart 03).   • Zoom_by_Size — zoom benefit per object-size bucket (chart 04).</t>
  </si>
  <si>
    <t xml:space="preserve">• PerCell_ZoomBenefit — per-cell zoom benefit (chart 05).</t>
  </si>
  <si>
    <t xml:space="preserve">SOURCE-OF-TRUTH RULES</t>
  </si>
  <si>
    <t xml:space="preserve">• Rank: lora_rank_sweep_e4 (finer grid). Resolution: res_sweep_best (zoom-on, canonical) with res_sweep base as fallback; res_sweep_e4_nozoom is the zoom-DISABLED variant shown for comparison.</t>
  </si>
  <si>
    <t xml:space="preserve">FAILED / MISSING RUNS (verified from orchestrator logs)</t>
  </si>
  <si>
    <t xml:space="preserve">• r012: training OK (best val F1=0.534). IMD eval OK (shown). Full TGIF eval (per-cell=1000) segfaulted (exit -11, empty log) — left as a GAP. The only r012 TGIF number anywhere is the in-training validation eval on ~434 images, which is NOT comparable to the per-cell=1000 protocol, so it is deliberately excluded. Checkpoint exists → re-run the full TGIF eval to recover.</t>
  </si>
  <si>
    <t xml:space="preserve">• r024: training never saved a checkpoint (run died during data indexing). Both evals failed: 'checkpoint file not found: .../r024/epoch_0004.pt'. Recovery requires RE-TRAINING r024.</t>
  </si>
  <si>
    <t xml:space="preserve">• res_448 is the DEFAULT resolution, so the resolution-sweep 448 cell = the LoRA rank-32 run. res_sweep_best's own res_448 eval failed, so res_448 (zoom-on) is taken from lora_rank_sweep_e4 r032 (marked * in tables). res_336 IMD also failed in res_sweep_best and falls back to res_sweep base.</t>
  </si>
  <si>
    <t xml:space="preserve">CELL DEFINITIONS</t>
  </si>
  <si>
    <t xml:space="preserve">• IMD (IMD2020): a separate image-manipulation eval dataset (NOT in-domain). AUC ~0.96–0.99.</t>
  </si>
  <si>
    <t xml:space="preserve">• TGIF: eval over 12 generator cells = flux1{dev,filldev,schnell} × {fr,sp} × {random,semantic}. AUC ~0.66–0.84 — the discriminating axis.</t>
  </si>
  <si>
    <t xml:space="preserve">LoRA rank ablation — TGIF (out-of-domain)</t>
  </si>
  <si>
    <t xml:space="preserve">Source: lora_rank_sweep_e4. Rank 16 = best on AUC &amp; F1-mean (green). r012 TGIF eval segfaulted; r024 has no checkpoint (see README).</t>
  </si>
  <si>
    <t xml:space="preserve">Rank</t>
  </si>
  <si>
    <t xml:space="preserve">Source</t>
  </si>
  <si>
    <t xml:space="preserve">AUC (image)</t>
  </si>
  <si>
    <t xml:space="preserve">F1 (mean)</t>
  </si>
  <si>
    <t xml:space="preserve">IoU (mean)</t>
  </si>
  <si>
    <t xml:space="preserve">Prec (mean)</t>
  </si>
  <si>
    <t xml:space="preserve">Rec (mean)</t>
  </si>
  <si>
    <t xml:space="preserve">Reals acc</t>
  </si>
  <si>
    <t xml:space="preserve">F1 tiny (mean)</t>
  </si>
  <si>
    <t xml:space="preserve">F1 small (mean)</t>
  </si>
  <si>
    <t xml:space="preserve">F1 medium (mean)</t>
  </si>
  <si>
    <t xml:space="preserve">F1 large (mean)</t>
  </si>
  <si>
    <t xml:space="preserve">r008</t>
  </si>
  <si>
    <t xml:space="preserve">e4</t>
  </si>
  <si>
    <t xml:space="preserve">r012</t>
  </si>
  <si>
    <t xml:space="preserve">GAP</t>
  </si>
  <si>
    <t xml:space="preserve">— no TGIF eval (see README) —</t>
  </si>
  <si>
    <t xml:space="preserve">r014</t>
  </si>
  <si>
    <t xml:space="preserve">▶ r016</t>
  </si>
  <si>
    <t xml:space="preserve">r018</t>
  </si>
  <si>
    <t xml:space="preserve">r020</t>
  </si>
  <si>
    <t xml:space="preserve">r024</t>
  </si>
  <si>
    <t xml:space="preserve">r032</t>
  </si>
  <si>
    <t xml:space="preserve">r064</t>
  </si>
  <si>
    <t xml:space="preserve">r128</t>
  </si>
  <si>
    <t xml:space="preserve">r256</t>
  </si>
  <si>
    <t xml:space="preserve">Metric stat: ALL metrics = MEAN. F1 / IoU / Prec / Rec = mean over images.  AUC = image-level ROC-AUC.  Reals acc = accuracy on real images.  Per-size bucket F1 = mean within bucket (parsed from eval orchestrator.log).</t>
  </si>
  <si>
    <t xml:space="preserve">Resolution ablation — TGIF (out-of-domain)</t>
  </si>
  <si>
    <t xml:space="preserve">Block A = res_sweep_best (zoom-on, canonical). Block B = res_sweep_e4_nozoom (zoom disabled). res_688 best (green). res_448* = default config, taken from the LoRA rank-32 run (its res_sweep_best eval failed; 448 is the default resolution so r032 is the same cell).</t>
  </si>
  <si>
    <t xml:space="preserve">A) res_sweep_best (zoom ON)   [res_448* = LoRA-e4 r032, default config]</t>
  </si>
  <si>
    <t xml:space="preserve">Resolution</t>
  </si>
  <si>
    <t xml:space="preserve">res_224</t>
  </si>
  <si>
    <t xml:space="preserve">best</t>
  </si>
  <si>
    <t xml:space="preserve">res_336</t>
  </si>
  <si>
    <t xml:space="preserve">res_448</t>
  </si>
  <si>
    <t xml:space="preserve">LoRA-e4 r032*</t>
  </si>
  <si>
    <t xml:space="preserve">res_496</t>
  </si>
  <si>
    <t xml:space="preserve">res_512</t>
  </si>
  <si>
    <t xml:space="preserve">res_592</t>
  </si>
  <si>
    <t xml:space="preserve">res_608</t>
  </si>
  <si>
    <t xml:space="preserve">▶ res_688</t>
  </si>
  <si>
    <t xml:space="preserve">B) res_sweep_e4_nozoom (zoom OFF — different eval setting)</t>
  </si>
  <si>
    <t xml:space="preserve">e4_nozoom</t>
  </si>
  <si>
    <t xml:space="preserve">res_688</t>
  </si>
  <si>
    <t xml:space="preserve">IMD vs TGIF — per setting</t>
  </si>
  <si>
    <t xml:space="preserve">Δ = IMD − TGIF (live formula). AUC = image-level; F1 = MEAN. Cells fill independently so partial runs (e.g. r012) still show IMD. (IMD = IMD2020 dataset, not in-domain.)</t>
  </si>
  <si>
    <t xml:space="preserve">Setting</t>
  </si>
  <si>
    <t xml:space="preserve">IMD AUC</t>
  </si>
  <si>
    <t xml:space="preserve">TGIF AUC</t>
  </si>
  <si>
    <t xml:space="preserve">Δ AUC</t>
  </si>
  <si>
    <t xml:space="preserve">IMD F1(mean)</t>
  </si>
  <si>
    <t xml:space="preserve">TGIF F1(mean)</t>
  </si>
  <si>
    <t xml:space="preserve">Δ F1(mean)</t>
  </si>
  <si>
    <t xml:space="preserve">LoRA rank (source: lora_rank_sweep_e4)</t>
  </si>
  <si>
    <t xml:space="preserve">n/a</t>
  </si>
  <si>
    <t xml:space="preserve">r016</t>
  </si>
  <si>
    <t xml:space="preserve">Resolution (source: res_sweep_best; base fallback for IMD)</t>
  </si>
  <si>
    <t xml:space="preserve">Per-cell TGIF F1 — LoRA rank (rollup value, as provided)</t>
  </si>
  <si>
    <t xml:space="preserve">Source: lora_rank_sweep_e4/rollup_fine:q_percell.csv. One F1 per cell. Heatmap shades low→high across the whole grid. r012/r024 absent from rollup.</t>
  </si>
  <si>
    <t xml:space="preserve">cell</t>
  </si>
  <si>
    <t xml:space="preserve">flux1dev|fr|random</t>
  </si>
  <si>
    <t xml:space="preserve">flux1dev|fr|semantic</t>
  </si>
  <si>
    <t xml:space="preserve">flux1dev|sp|random</t>
  </si>
  <si>
    <t xml:space="preserve">flux1dev|sp|semantic</t>
  </si>
  <si>
    <t xml:space="preserve">flux1filldev|fr|random</t>
  </si>
  <si>
    <t xml:space="preserve">flux1filldev|fr|semantic</t>
  </si>
  <si>
    <t xml:space="preserve">flux1filldev|sp|random</t>
  </si>
  <si>
    <t xml:space="preserve">flux1filldev|sp|semantic</t>
  </si>
  <si>
    <t xml:space="preserve">flux1schnell|fr|random</t>
  </si>
  <si>
    <t xml:space="preserve">flux1schnell|fr|semantic</t>
  </si>
  <si>
    <t xml:space="preserve">flux1schnell|sp|random</t>
  </si>
  <si>
    <t xml:space="preserve">flux1schnell|sp|semantic</t>
  </si>
  <si>
    <t xml:space="preserve">MEAN_over_cells</t>
  </si>
  <si>
    <t xml:space="preserve">Per-cell TGIF F1 — Resolution (rollup value, as provided)</t>
  </si>
  <si>
    <t xml:space="preserve">Source: res_sweep_best/rollup_res_percell.csv (zoom-on). res_448 absent (eval failed). Heatmap shades low→high across the whole grid.</t>
  </si>
  <si>
    <t xml:space="preserve">Zoom ON vs Zoom OFF across resolution — TGIF</t>
  </si>
  <si>
    <t xml:space="preserve">ON = res_sweep_best (res_448* = LoRA-e4 r032, default config), OFF = res_sweep_e4_nozoom. All metrics MEAN. Δ columns are live formulas. NOTE: ON/OFF configs differ beyond the zoom flag, so Δ is indicative, not a clean A/B.</t>
  </si>
  <si>
    <t xml:space="preserve">AUC ON</t>
  </si>
  <si>
    <t xml:space="preserve">AUC OFF</t>
  </si>
  <si>
    <t xml:space="preserve">F1(mean) ON</t>
  </si>
  <si>
    <t xml:space="preserve">F1(mean) OFF</t>
  </si>
  <si>
    <t xml:space="preserve">Δ F1</t>
  </si>
  <si>
    <t xml:space="preserve">IoU(mean) ON</t>
  </si>
  <si>
    <t xml:space="preserve">IoU(mean) OFF</t>
  </si>
  <si>
    <t xml:space="preserve">Δ IoU</t>
  </si>
  <si>
    <t xml:space="preserve">res_448*</t>
  </si>
  <si>
    <t xml:space="preserve">MEAN</t>
  </si>
  <si>
    <t xml:space="preserve">Zoom benefit by object-size bucket — TGIF</t>
  </si>
  <si>
    <t xml:space="preserve">Bucket F1 = MEAN within bucket (parsed from eval logs). ON=res_sweep_best (res_448*=LoRA-e4 r032), OFF=res_sweep_e4_nozoom. Δ blocks are live formulas. AVG row = AVERAGE over resolutions.</t>
  </si>
  <si>
    <t xml:space="preserve">Zoom ON — bucket F1 (mean)</t>
  </si>
  <si>
    <t xml:space="preserve">tiny</t>
  </si>
  <si>
    <t xml:space="preserve">small</t>
  </si>
  <si>
    <t xml:space="preserve">medium</t>
  </si>
  <si>
    <t xml:space="preserve">large</t>
  </si>
  <si>
    <t xml:space="preserve">AVG</t>
  </si>
  <si>
    <t xml:space="preserve">Zoom OFF — bucket F1 (mean)</t>
  </si>
  <si>
    <t xml:space="preserve">Δ (ON − OFF), bucket F1 (mean)</t>
  </si>
  <si>
    <t xml:space="preserve">Per-cell zoom benefit — TGIF F1 (rollup, ON − OFF)</t>
  </si>
  <si>
    <t xml:space="preserve">ON=res_sweep_best, OFF=res_sweep_e4_nozoom per-cell rollups. Three blocks: ON, OFF, and Δ (live formula). Green=zoom helps.</t>
  </si>
  <si>
    <t xml:space="preserve">A) Zoom ON per-cell F1</t>
  </si>
  <si>
    <t xml:space="preserve">224</t>
  </si>
  <si>
    <t xml:space="preserve">336</t>
  </si>
  <si>
    <t xml:space="preserve">496</t>
  </si>
  <si>
    <t xml:space="preserve">512</t>
  </si>
  <si>
    <t xml:space="preserve">592</t>
  </si>
  <si>
    <t xml:space="preserve">608</t>
  </si>
  <si>
    <t xml:space="preserve">688</t>
  </si>
  <si>
    <t xml:space="preserve">B) Zoom OFF per-cell F1</t>
  </si>
  <si>
    <t xml:space="preserve">C) Δ (ON − OFF) — live formula  (green = zoom helps)</t>
  </si>
  <si>
    <t xml:space="preserve">Resolution: performance vs theoretical inference cost</t>
  </si>
  <si>
    <t xml:space="preserve">Cost = transformer FLOPs proxy for DINOv3 ViT-H/16+ (patch 16, d=1280). tokens N=(res/patch)^2; cost ∝ N^2 (attention) + (2+mlp_ratio)·d·N (linear). Normalized to 448=1.0. Zoom modeled as a compute multiplier. BLUE cells are editable; all costs are live formulas.</t>
  </si>
  <si>
    <t xml:space="preserve">Cost model inputs (editable)</t>
  </si>
  <si>
    <t xml:space="preserve">patch_size</t>
  </si>
  <si>
    <t xml:space="preserve">embed_dim d</t>
  </si>
  <si>
    <t xml:space="preserve">mlp_ratio</t>
  </si>
  <si>
    <t xml:space="preserve">zoom_multiplier</t>
  </si>
  <si>
    <t xml:space="preserve">lin_weight =(2+mlp)·d</t>
  </si>
  <si>
    <t xml:space="preserve">tokens N</t>
  </si>
  <si>
    <t xml:space="preserve">raw FLOPs</t>
  </si>
  <si>
    <t xml:space="preserve">rel cost (1-pass)</t>
  </si>
  <si>
    <t xml:space="preserve">rel cost (zoom)</t>
  </si>
  <si>
    <t xml:space="preserve">AUC zoom-ON</t>
  </si>
  <si>
    <t xml:space="preserve">AUC zoom-OFF</t>
  </si>
  <si>
    <t xml:space="preserve">F1mean zoom-ON</t>
  </si>
  <si>
    <t xml:space="preserve">F1mean zoom-OFF</t>
  </si>
  <si>
    <t xml:space="preserve">AUC / cost (ON)</t>
  </si>
  <si>
    <t xml:space="preserve">res_448* = default config (LoRA-e4 r032). 'rel cost (zoom)' = 1-pass cost × zoom_multiplier. 'AUC / cost' = efficiency (higher = more accuracy per FLOP).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</si>
</sst>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1F6E2E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C7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E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23.8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23.8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35.05" hidden="false" customHeight="false" outlineLevel="0" collapsed="false">
      <c r="A21" s="5" t="s">
        <v>16</v>
      </c>
    </row>
    <row r="22" customFormat="false" ht="23.85" hidden="false" customHeight="false" outlineLevel="0" collapsed="false">
      <c r="A22" s="5" t="s">
        <v>17</v>
      </c>
    </row>
    <row r="23" customFormat="false" ht="35.05" hidden="false" customHeight="false" outlineLevel="0" collapsed="false">
      <c r="A23" s="5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12" min="3" style="0" width="11.5"/>
  </cols>
  <sheetData>
    <row r="1" customFormat="false" ht="16.15" hidden="false" customHeight="false" outlineLevel="0" collapsed="false">
      <c r="A1" s="6" t="s">
        <v>22</v>
      </c>
    </row>
    <row r="2" customFormat="false" ht="15" hidden="false" customHeight="false" outlineLevel="0" collapsed="false">
      <c r="A2" s="7" t="s">
        <v>23</v>
      </c>
    </row>
    <row r="4" customFormat="false" ht="30" hidden="false" customHeight="true" outlineLevel="0" collapsed="false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</row>
    <row r="5" customFormat="false" ht="19.5" hidden="false" customHeight="true" outlineLevel="0" collapsed="false">
      <c r="A5" s="9" t="s">
        <v>36</v>
      </c>
      <c r="B5" s="10" t="s">
        <v>37</v>
      </c>
      <c r="C5" s="11" t="n">
        <v>0.740606417340579</v>
      </c>
      <c r="D5" s="11" t="n">
        <v>0.424284319508533</v>
      </c>
      <c r="E5" s="11" t="n">
        <v>0.365478283729717</v>
      </c>
      <c r="F5" s="11" t="n">
        <v>0.425760919228994</v>
      </c>
      <c r="G5" s="11" t="n">
        <v>0.580783959187011</v>
      </c>
      <c r="H5" s="11" t="n">
        <v>0.54284090659561</v>
      </c>
      <c r="I5" s="11" t="n">
        <v>0.2559</v>
      </c>
      <c r="J5" s="11" t="n">
        <v>0.5</v>
      </c>
      <c r="K5" s="11" t="n">
        <v>0.6431</v>
      </c>
      <c r="L5" s="11" t="n">
        <v>0.7083</v>
      </c>
    </row>
    <row r="6" customFormat="false" ht="19.5" hidden="false" customHeight="true" outlineLevel="0" collapsed="false">
      <c r="A6" s="9" t="s">
        <v>38</v>
      </c>
      <c r="B6" s="12" t="s">
        <v>39</v>
      </c>
      <c r="C6" s="13" t="s">
        <v>40</v>
      </c>
      <c r="D6" s="13"/>
      <c r="E6" s="13"/>
      <c r="F6" s="13"/>
      <c r="G6" s="13"/>
      <c r="H6" s="13"/>
      <c r="I6" s="13"/>
      <c r="J6" s="13"/>
      <c r="K6" s="13"/>
      <c r="L6" s="13"/>
    </row>
    <row r="7" customFormat="false" ht="19.5" hidden="false" customHeight="true" outlineLevel="0" collapsed="false">
      <c r="A7" s="9" t="s">
        <v>41</v>
      </c>
      <c r="B7" s="10" t="s">
        <v>37</v>
      </c>
      <c r="C7" s="11" t="n">
        <v>0.740097499978449</v>
      </c>
      <c r="D7" s="11" t="n">
        <v>0.39623676896984</v>
      </c>
      <c r="E7" s="11" t="n">
        <v>0.334915653707999</v>
      </c>
      <c r="F7" s="11" t="n">
        <v>0.381462121246398</v>
      </c>
      <c r="G7" s="11" t="n">
        <v>0.649983463485833</v>
      </c>
      <c r="H7" s="11" t="n">
        <v>0.494379947256317</v>
      </c>
      <c r="I7" s="11" t="n">
        <v>0.216</v>
      </c>
      <c r="J7" s="11" t="n">
        <v>0.466</v>
      </c>
      <c r="K7" s="11" t="n">
        <v>0.6531</v>
      </c>
      <c r="L7" s="11" t="n">
        <v>0.6989</v>
      </c>
    </row>
    <row r="8" customFormat="false" ht="19.5" hidden="false" customHeight="true" outlineLevel="0" collapsed="false">
      <c r="A8" s="14" t="s">
        <v>42</v>
      </c>
      <c r="B8" s="10" t="s">
        <v>37</v>
      </c>
      <c r="C8" s="11" t="n">
        <v>0.785803298153503</v>
      </c>
      <c r="D8" s="11" t="n">
        <v>0.50075480382326</v>
      </c>
      <c r="E8" s="11" t="n">
        <v>0.431863101803057</v>
      </c>
      <c r="F8" s="11" t="n">
        <v>0.501761602707114</v>
      </c>
      <c r="G8" s="11" t="n">
        <v>0.686368786905598</v>
      </c>
      <c r="H8" s="11" t="n">
        <v>0.593775389670277</v>
      </c>
      <c r="I8" s="11" t="n">
        <v>0.345</v>
      </c>
      <c r="J8" s="11" t="n">
        <v>0.5847</v>
      </c>
      <c r="K8" s="11" t="n">
        <v>0.6788</v>
      </c>
      <c r="L8" s="11" t="n">
        <v>0.6896</v>
      </c>
    </row>
    <row r="9" customFormat="false" ht="19.5" hidden="false" customHeight="true" outlineLevel="0" collapsed="false">
      <c r="A9" s="9" t="s">
        <v>43</v>
      </c>
      <c r="B9" s="10" t="s">
        <v>37</v>
      </c>
      <c r="C9" s="11" t="n">
        <v>0.716249861188792</v>
      </c>
      <c r="D9" s="11" t="n">
        <v>0.348151593676404</v>
      </c>
      <c r="E9" s="11" t="n">
        <v>0.290148404759517</v>
      </c>
      <c r="F9" s="11" t="n">
        <v>0.34936703219872</v>
      </c>
      <c r="G9" s="11" t="n">
        <v>0.587835145207418</v>
      </c>
      <c r="H9" s="11" t="n">
        <v>0.496450697138886</v>
      </c>
      <c r="I9" s="11" t="n">
        <v>0.1891</v>
      </c>
      <c r="J9" s="11" t="n">
        <v>0.4088</v>
      </c>
      <c r="K9" s="11" t="n">
        <v>0.5762</v>
      </c>
      <c r="L9" s="11" t="n">
        <v>0.6193</v>
      </c>
    </row>
    <row r="10" customFormat="false" ht="19.5" hidden="false" customHeight="true" outlineLevel="0" collapsed="false">
      <c r="A10" s="9" t="s">
        <v>44</v>
      </c>
      <c r="B10" s="10" t="s">
        <v>37</v>
      </c>
      <c r="C10" s="11" t="n">
        <v>0.744934975505843</v>
      </c>
      <c r="D10" s="11" t="n">
        <v>0.430899320170354</v>
      </c>
      <c r="E10" s="11" t="n">
        <v>0.364753832200484</v>
      </c>
      <c r="F10" s="11" t="n">
        <v>0.440635007719953</v>
      </c>
      <c r="G10" s="11" t="n">
        <v>0.664633616943724</v>
      </c>
      <c r="H10" s="11" t="n">
        <v>0.547741873754086</v>
      </c>
      <c r="I10" s="11" t="n">
        <v>0.2769</v>
      </c>
      <c r="J10" s="11" t="n">
        <v>0.5097</v>
      </c>
      <c r="K10" s="11" t="n">
        <v>0.6142</v>
      </c>
      <c r="L10" s="11" t="n">
        <v>0.6447</v>
      </c>
    </row>
    <row r="11" customFormat="false" ht="19.5" hidden="false" customHeight="true" outlineLevel="0" collapsed="false">
      <c r="A11" s="9" t="s">
        <v>45</v>
      </c>
      <c r="B11" s="12" t="s">
        <v>39</v>
      </c>
      <c r="C11" s="13" t="s">
        <v>40</v>
      </c>
      <c r="D11" s="13"/>
      <c r="E11" s="13"/>
      <c r="F11" s="13"/>
      <c r="G11" s="13"/>
      <c r="H11" s="13"/>
      <c r="I11" s="13"/>
      <c r="J11" s="13"/>
      <c r="K11" s="13"/>
      <c r="L11" s="13"/>
    </row>
    <row r="12" customFormat="false" ht="19.5" hidden="false" customHeight="true" outlineLevel="0" collapsed="false">
      <c r="A12" s="9" t="s">
        <v>46</v>
      </c>
      <c r="B12" s="10" t="s">
        <v>37</v>
      </c>
      <c r="C12" s="11" t="n">
        <v>0.743084316507954</v>
      </c>
      <c r="D12" s="11" t="n">
        <v>0.410671263374751</v>
      </c>
      <c r="E12" s="11" t="n">
        <v>0.34959460934294</v>
      </c>
      <c r="F12" s="11" t="n">
        <v>0.411746910895901</v>
      </c>
      <c r="G12" s="11" t="n">
        <v>0.674588102774963</v>
      </c>
      <c r="H12" s="11" t="n">
        <v>0.491101084661035</v>
      </c>
      <c r="I12" s="11" t="n">
        <v>0.2589</v>
      </c>
      <c r="J12" s="11" t="n">
        <v>0.4851</v>
      </c>
      <c r="K12" s="11" t="n">
        <v>0.5978</v>
      </c>
      <c r="L12" s="11" t="n">
        <v>0.6139</v>
      </c>
    </row>
    <row r="13" customFormat="false" ht="19.5" hidden="false" customHeight="true" outlineLevel="0" collapsed="false">
      <c r="A13" s="9" t="s">
        <v>47</v>
      </c>
      <c r="B13" s="10" t="s">
        <v>37</v>
      </c>
      <c r="C13" s="11" t="n">
        <v>0.753620014226057</v>
      </c>
      <c r="D13" s="11" t="n">
        <v>0.392941570114444</v>
      </c>
      <c r="E13" s="11" t="n">
        <v>0.335226862256638</v>
      </c>
      <c r="F13" s="11" t="n">
        <v>0.410643638263428</v>
      </c>
      <c r="G13" s="11" t="n">
        <v>0.531879310999017</v>
      </c>
      <c r="H13" s="11" t="n">
        <v>0.60706571849127</v>
      </c>
      <c r="I13" s="11" t="n">
        <v>0.2312</v>
      </c>
      <c r="J13" s="11" t="n">
        <v>0.4731</v>
      </c>
      <c r="K13" s="11" t="n">
        <v>0.5898</v>
      </c>
      <c r="L13" s="11" t="n">
        <v>0.6316</v>
      </c>
    </row>
    <row r="14" customFormat="false" ht="19.5" hidden="false" customHeight="true" outlineLevel="0" collapsed="false">
      <c r="A14" s="9" t="s">
        <v>48</v>
      </c>
      <c r="B14" s="10" t="s">
        <v>37</v>
      </c>
      <c r="C14" s="11" t="n">
        <v>0.711487109600966</v>
      </c>
      <c r="D14" s="11" t="n">
        <v>0.367810419944306</v>
      </c>
      <c r="E14" s="11" t="n">
        <v>0.302626109001634</v>
      </c>
      <c r="F14" s="11" t="n">
        <v>0.357629869170218</v>
      </c>
      <c r="G14" s="11" t="n">
        <v>0.663729935687459</v>
      </c>
      <c r="H14" s="11" t="n">
        <v>0.49242597195596</v>
      </c>
      <c r="I14" s="11" t="n">
        <v>0.2052</v>
      </c>
      <c r="J14" s="11" t="n">
        <v>0.4365</v>
      </c>
      <c r="K14" s="11" t="n">
        <v>0.5892</v>
      </c>
      <c r="L14" s="11" t="n">
        <v>0.6105</v>
      </c>
    </row>
    <row r="15" customFormat="false" ht="19.5" hidden="false" customHeight="true" outlineLevel="0" collapsed="false">
      <c r="A15" s="9" t="s">
        <v>49</v>
      </c>
      <c r="B15" s="10" t="s">
        <v>37</v>
      </c>
      <c r="C15" s="11" t="n">
        <v>0.658092755307267</v>
      </c>
      <c r="D15" s="11" t="n">
        <v>0.31827269872847</v>
      </c>
      <c r="E15" s="11" t="n">
        <v>0.249427062297569</v>
      </c>
      <c r="F15" s="11" t="n">
        <v>0.311047705779422</v>
      </c>
      <c r="G15" s="11" t="n">
        <v>0.685857601520655</v>
      </c>
      <c r="H15" s="11" t="n">
        <v>0.4807200361315</v>
      </c>
      <c r="I15" s="11" t="n">
        <v>0.1581</v>
      </c>
      <c r="J15" s="11" t="n">
        <v>0.3838</v>
      </c>
      <c r="K15" s="11" t="n">
        <v>0.5395</v>
      </c>
      <c r="L15" s="11" t="n">
        <v>0.581</v>
      </c>
    </row>
    <row r="16" customFormat="false" ht="42" hidden="false" customHeight="true" outlineLevel="0" collapsed="false">
      <c r="A16" s="15" t="s">
        <v>50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</sheetData>
  <mergeCells count="3">
    <mergeCell ref="C6:L6"/>
    <mergeCell ref="C11:L11"/>
    <mergeCell ref="A16:L16"/>
  </mergeCells>
  <conditionalFormatting sqref="C5:C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5:D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5:E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5:F1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5:G1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5:H1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1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:J1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5:K1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15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12" min="3" style="0" width="11.5"/>
  </cols>
  <sheetData>
    <row r="1" customFormat="false" ht="16.15" hidden="false" customHeight="false" outlineLevel="0" collapsed="false">
      <c r="A1" s="6" t="s">
        <v>51</v>
      </c>
    </row>
    <row r="2" customFormat="false" ht="15" hidden="false" customHeight="false" outlineLevel="0" collapsed="false">
      <c r="A2" s="7" t="s">
        <v>52</v>
      </c>
    </row>
    <row r="4" customFormat="false" ht="15" hidden="false" customHeight="false" outlineLevel="0" collapsed="false">
      <c r="A4" s="16" t="s">
        <v>53</v>
      </c>
    </row>
    <row r="5" customFormat="false" ht="30" hidden="false" customHeight="true" outlineLevel="0" collapsed="false">
      <c r="A5" s="8" t="s">
        <v>54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34</v>
      </c>
      <c r="L5" s="8" t="s">
        <v>35</v>
      </c>
    </row>
    <row r="6" customFormat="false" ht="19.5" hidden="false" customHeight="true" outlineLevel="0" collapsed="false">
      <c r="A6" s="9" t="s">
        <v>55</v>
      </c>
      <c r="B6" s="10" t="s">
        <v>56</v>
      </c>
      <c r="C6" s="11" t="n">
        <v>0.671602011894923</v>
      </c>
      <c r="D6" s="11" t="n">
        <v>0.350593898444853</v>
      </c>
      <c r="E6" s="11" t="n">
        <v>0.272100843147927</v>
      </c>
      <c r="F6" s="11" t="n">
        <v>0.337668501854183</v>
      </c>
      <c r="G6" s="11" t="n">
        <v>0.589099282983419</v>
      </c>
      <c r="H6" s="11" t="n">
        <v>0.659796080670292</v>
      </c>
      <c r="I6" s="11" t="n">
        <v>0.1886</v>
      </c>
      <c r="J6" s="11" t="n">
        <v>0.4274</v>
      </c>
      <c r="K6" s="11" t="n">
        <v>0.5601</v>
      </c>
      <c r="L6" s="11" t="n">
        <v>0.4686</v>
      </c>
    </row>
    <row r="7" customFormat="false" ht="19.5" hidden="false" customHeight="true" outlineLevel="0" collapsed="false">
      <c r="A7" s="9" t="s">
        <v>57</v>
      </c>
      <c r="B7" s="10" t="s">
        <v>56</v>
      </c>
      <c r="C7" s="11" t="n">
        <v>0.717528533111592</v>
      </c>
      <c r="D7" s="11" t="n">
        <v>0.384385850288679</v>
      </c>
      <c r="E7" s="11" t="n">
        <v>0.31704899097984</v>
      </c>
      <c r="F7" s="11" t="n">
        <v>0.378604421515061</v>
      </c>
      <c r="G7" s="11" t="n">
        <v>0.674362819129555</v>
      </c>
      <c r="H7" s="11" t="n">
        <v>0.515964191939251</v>
      </c>
      <c r="I7" s="11" t="n">
        <v>0.2126</v>
      </c>
      <c r="J7" s="11" t="n">
        <v>0.4634</v>
      </c>
      <c r="K7" s="11" t="n">
        <v>0.6081</v>
      </c>
      <c r="L7" s="11" t="n">
        <v>0.5853</v>
      </c>
    </row>
    <row r="8" customFormat="false" ht="19.5" hidden="false" customHeight="true" outlineLevel="0" collapsed="false">
      <c r="A8" s="9" t="s">
        <v>58</v>
      </c>
      <c r="B8" s="10" t="s">
        <v>59</v>
      </c>
      <c r="C8" s="11" t="n">
        <v>0.743084316507954</v>
      </c>
      <c r="D8" s="11" t="n">
        <v>0.410671263374751</v>
      </c>
      <c r="E8" s="11" t="n">
        <v>0.34959460934294</v>
      </c>
      <c r="F8" s="11" t="n">
        <v>0.411746910895901</v>
      </c>
      <c r="G8" s="11" t="n">
        <v>0.674588102774963</v>
      </c>
      <c r="H8" s="11" t="n">
        <v>0.491101084661035</v>
      </c>
      <c r="I8" s="11" t="n">
        <v>0.2589</v>
      </c>
      <c r="J8" s="11" t="n">
        <v>0.4851</v>
      </c>
      <c r="K8" s="11" t="n">
        <v>0.5978</v>
      </c>
      <c r="L8" s="11" t="n">
        <v>0.6139</v>
      </c>
    </row>
    <row r="9" customFormat="false" ht="19.5" hidden="false" customHeight="true" outlineLevel="0" collapsed="false">
      <c r="A9" s="9" t="s">
        <v>60</v>
      </c>
      <c r="B9" s="10" t="s">
        <v>56</v>
      </c>
      <c r="C9" s="11" t="n">
        <v>0.792942903355017</v>
      </c>
      <c r="D9" s="11" t="n">
        <v>0.51535704704918</v>
      </c>
      <c r="E9" s="11" t="n">
        <v>0.444724355711997</v>
      </c>
      <c r="F9" s="11" t="n">
        <v>0.51884148767654</v>
      </c>
      <c r="G9" s="11" t="n">
        <v>0.723162174781219</v>
      </c>
      <c r="H9" s="11" t="n">
        <v>0.582347365460287</v>
      </c>
      <c r="I9" s="11" t="n">
        <v>0.3451</v>
      </c>
      <c r="J9" s="11" t="n">
        <v>0.6221</v>
      </c>
      <c r="K9" s="11" t="n">
        <v>0.681</v>
      </c>
      <c r="L9" s="11" t="n">
        <v>0.7079</v>
      </c>
    </row>
    <row r="10" customFormat="false" ht="19.5" hidden="false" customHeight="true" outlineLevel="0" collapsed="false">
      <c r="A10" s="9" t="s">
        <v>61</v>
      </c>
      <c r="B10" s="10" t="s">
        <v>56</v>
      </c>
      <c r="C10" s="11" t="n">
        <v>0.797077986279769</v>
      </c>
      <c r="D10" s="11" t="n">
        <v>0.490965500189913</v>
      </c>
      <c r="E10" s="11" t="n">
        <v>0.4248778121896</v>
      </c>
      <c r="F10" s="11" t="n">
        <v>0.486037442651756</v>
      </c>
      <c r="G10" s="11" t="n">
        <v>0.763472810513054</v>
      </c>
      <c r="H10" s="11" t="n">
        <v>0.464992363295869</v>
      </c>
      <c r="I10" s="11" t="n">
        <v>0.3138</v>
      </c>
      <c r="J10" s="11" t="n">
        <v>0.5873</v>
      </c>
      <c r="K10" s="11" t="n">
        <v>0.6919</v>
      </c>
      <c r="L10" s="11" t="n">
        <v>0.7058</v>
      </c>
    </row>
    <row r="11" customFormat="false" ht="19.5" hidden="false" customHeight="true" outlineLevel="0" collapsed="false">
      <c r="A11" s="9" t="s">
        <v>62</v>
      </c>
      <c r="B11" s="10" t="s">
        <v>56</v>
      </c>
      <c r="C11" s="11" t="n">
        <v>0.772574241863437</v>
      </c>
      <c r="D11" s="11" t="n">
        <v>0.518534364645396</v>
      </c>
      <c r="E11" s="11" t="n">
        <v>0.450666212876516</v>
      </c>
      <c r="F11" s="11" t="n">
        <v>0.505398457901162</v>
      </c>
      <c r="G11" s="11" t="n">
        <v>0.801927931826566</v>
      </c>
      <c r="H11" s="11" t="n">
        <v>0.484599595321774</v>
      </c>
      <c r="I11" s="11" t="n">
        <v>0.3438</v>
      </c>
      <c r="J11" s="11" t="n">
        <v>0.6121</v>
      </c>
      <c r="K11" s="11" t="n">
        <v>0.7186</v>
      </c>
      <c r="L11" s="11" t="n">
        <v>0.754</v>
      </c>
    </row>
    <row r="12" customFormat="false" ht="19.5" hidden="false" customHeight="true" outlineLevel="0" collapsed="false">
      <c r="A12" s="9" t="s">
        <v>63</v>
      </c>
      <c r="B12" s="10" t="s">
        <v>56</v>
      </c>
      <c r="C12" s="11" t="n">
        <v>0.823747762730255</v>
      </c>
      <c r="D12" s="11" t="n">
        <v>0.535189733870206</v>
      </c>
      <c r="E12" s="11" t="n">
        <v>0.468912107284295</v>
      </c>
      <c r="F12" s="11" t="n">
        <v>0.513146098837751</v>
      </c>
      <c r="G12" s="11" t="n">
        <v>0.82161096083533</v>
      </c>
      <c r="H12" s="11" t="n">
        <v>0.444181022585197</v>
      </c>
      <c r="I12" s="11" t="n">
        <v>0.359</v>
      </c>
      <c r="J12" s="11" t="n">
        <v>0.6264</v>
      </c>
      <c r="K12" s="11" t="n">
        <v>0.7427</v>
      </c>
      <c r="L12" s="11" t="n">
        <v>0.7806</v>
      </c>
    </row>
    <row r="13" customFormat="false" ht="19.5" hidden="false" customHeight="true" outlineLevel="0" collapsed="false">
      <c r="A13" s="14" t="s">
        <v>64</v>
      </c>
      <c r="B13" s="10" t="s">
        <v>56</v>
      </c>
      <c r="C13" s="11" t="n">
        <v>0.844676945854269</v>
      </c>
      <c r="D13" s="11" t="n">
        <v>0.574054555896384</v>
      </c>
      <c r="E13" s="11" t="n">
        <v>0.502409194308669</v>
      </c>
      <c r="F13" s="11" t="n">
        <v>0.589524772284178</v>
      </c>
      <c r="G13" s="11" t="n">
        <v>0.747334313903836</v>
      </c>
      <c r="H13" s="11" t="n">
        <v>0.572009218953926</v>
      </c>
      <c r="I13" s="11" t="n">
        <v>0.4557</v>
      </c>
      <c r="J13" s="11" t="n">
        <v>0.6537</v>
      </c>
      <c r="K13" s="11" t="n">
        <v>0.6797</v>
      </c>
      <c r="L13" s="11" t="n">
        <v>0.6776</v>
      </c>
    </row>
    <row r="14" customFormat="false" ht="42" hidden="false" customHeight="true" outlineLevel="0" collapsed="false">
      <c r="A14" s="15" t="s">
        <v>50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7" customFormat="false" ht="15" hidden="false" customHeight="false" outlineLevel="0" collapsed="false">
      <c r="A17" s="16" t="s">
        <v>65</v>
      </c>
    </row>
    <row r="18" customFormat="false" ht="30" hidden="false" customHeight="true" outlineLevel="0" collapsed="false">
      <c r="A18" s="8" t="s">
        <v>54</v>
      </c>
      <c r="B18" s="8" t="s">
        <v>25</v>
      </c>
      <c r="C18" s="8" t="s">
        <v>26</v>
      </c>
      <c r="D18" s="8" t="s">
        <v>27</v>
      </c>
      <c r="E18" s="8" t="s">
        <v>28</v>
      </c>
      <c r="F18" s="8" t="s">
        <v>29</v>
      </c>
      <c r="G18" s="8" t="s">
        <v>30</v>
      </c>
      <c r="H18" s="8" t="s">
        <v>31</v>
      </c>
      <c r="I18" s="8" t="s">
        <v>32</v>
      </c>
      <c r="J18" s="8" t="s">
        <v>33</v>
      </c>
      <c r="K18" s="8" t="s">
        <v>34</v>
      </c>
      <c r="L18" s="8" t="s">
        <v>35</v>
      </c>
    </row>
    <row r="19" customFormat="false" ht="19.5" hidden="false" customHeight="true" outlineLevel="0" collapsed="false">
      <c r="A19" s="9" t="s">
        <v>55</v>
      </c>
      <c r="B19" s="10" t="s">
        <v>66</v>
      </c>
      <c r="C19" s="11" t="n">
        <v>0.657360554082352</v>
      </c>
      <c r="D19" s="11" t="n">
        <v>0.292344381721103</v>
      </c>
      <c r="E19" s="11" t="n">
        <v>0.216617130504137</v>
      </c>
      <c r="F19" s="11" t="n">
        <v>0.25974371108386</v>
      </c>
      <c r="G19" s="11" t="n">
        <v>0.64586329647744</v>
      </c>
      <c r="H19" s="11" t="n">
        <v>0.568235977025541</v>
      </c>
      <c r="I19" s="11" t="n">
        <v>0.1019</v>
      </c>
      <c r="J19" s="11" t="n">
        <v>0.3668</v>
      </c>
      <c r="K19" s="11" t="n">
        <v>0.5639</v>
      </c>
      <c r="L19" s="11" t="n">
        <v>0.572</v>
      </c>
    </row>
    <row r="20" customFormat="false" ht="19.5" hidden="false" customHeight="true" outlineLevel="0" collapsed="false">
      <c r="A20" s="9" t="s">
        <v>57</v>
      </c>
      <c r="B20" s="10" t="s">
        <v>66</v>
      </c>
      <c r="C20" s="11" t="n">
        <v>0.729448047174068</v>
      </c>
      <c r="D20" s="11" t="n">
        <v>0.310936489605754</v>
      </c>
      <c r="E20" s="11" t="n">
        <v>0.244578892631079</v>
      </c>
      <c r="F20" s="11" t="n">
        <v>0.290615469542102</v>
      </c>
      <c r="G20" s="11" t="n">
        <v>0.633367838962737</v>
      </c>
      <c r="H20" s="11" t="n">
        <v>0.545215691066846</v>
      </c>
      <c r="I20" s="11" t="n">
        <v>0.0962</v>
      </c>
      <c r="J20" s="11" t="n">
        <v>0.396</v>
      </c>
      <c r="K20" s="11" t="n">
        <v>0.612</v>
      </c>
      <c r="L20" s="11" t="n">
        <v>0.6923</v>
      </c>
    </row>
    <row r="21" customFormat="false" ht="19.5" hidden="false" customHeight="true" outlineLevel="0" collapsed="false">
      <c r="A21" s="9" t="s">
        <v>58</v>
      </c>
      <c r="B21" s="10" t="s">
        <v>66</v>
      </c>
      <c r="C21" s="11" t="n">
        <v>0.761623662074665</v>
      </c>
      <c r="D21" s="11" t="n">
        <v>0.379616790988103</v>
      </c>
      <c r="E21" s="11" t="n">
        <v>0.310086575767002</v>
      </c>
      <c r="F21" s="11" t="n">
        <v>0.353968989628744</v>
      </c>
      <c r="G21" s="11" t="n">
        <v>0.771837712910363</v>
      </c>
      <c r="H21" s="11" t="n">
        <v>0.465496303311744</v>
      </c>
      <c r="I21" s="11" t="n">
        <v>0.1382</v>
      </c>
      <c r="J21" s="11" t="n">
        <v>0.4895</v>
      </c>
      <c r="K21" s="11" t="n">
        <v>0.6949</v>
      </c>
      <c r="L21" s="11" t="n">
        <v>0.6926</v>
      </c>
    </row>
    <row r="22" customFormat="false" ht="19.5" hidden="false" customHeight="true" outlineLevel="0" collapsed="false">
      <c r="A22" s="9" t="s">
        <v>60</v>
      </c>
      <c r="B22" s="10" t="s">
        <v>66</v>
      </c>
      <c r="C22" s="11" t="n">
        <v>0.792896763627698</v>
      </c>
      <c r="D22" s="11" t="n">
        <v>0.421838253300939</v>
      </c>
      <c r="E22" s="11" t="n">
        <v>0.349193004656537</v>
      </c>
      <c r="F22" s="11" t="n">
        <v>0.393154467868757</v>
      </c>
      <c r="G22" s="11" t="n">
        <v>0.78644704967194</v>
      </c>
      <c r="H22" s="11" t="n">
        <v>0.517708599450423</v>
      </c>
      <c r="I22" s="11" t="n">
        <v>0.1581</v>
      </c>
      <c r="J22" s="11" t="n">
        <v>0.5625</v>
      </c>
      <c r="K22" s="11" t="n">
        <v>0.7252</v>
      </c>
      <c r="L22" s="11" t="n">
        <v>0.7707</v>
      </c>
    </row>
    <row r="23" customFormat="false" ht="19.5" hidden="false" customHeight="true" outlineLevel="0" collapsed="false">
      <c r="A23" s="9" t="s">
        <v>61</v>
      </c>
      <c r="B23" s="10" t="s">
        <v>66</v>
      </c>
      <c r="C23" s="11" t="n">
        <v>0.755378066897534</v>
      </c>
      <c r="D23" s="11" t="n">
        <v>0.353030176568782</v>
      </c>
      <c r="E23" s="11" t="n">
        <v>0.284199674794839</v>
      </c>
      <c r="F23" s="11" t="n">
        <v>0.323085735563409</v>
      </c>
      <c r="G23" s="11" t="n">
        <v>0.776643228071667</v>
      </c>
      <c r="H23" s="11" t="n">
        <v>0.442426670097305</v>
      </c>
      <c r="I23" s="11" t="n">
        <v>0.1117</v>
      </c>
      <c r="J23" s="11" t="n">
        <v>0.4569</v>
      </c>
      <c r="K23" s="11" t="n">
        <v>0.6768</v>
      </c>
      <c r="L23" s="11" t="n">
        <v>0.7414</v>
      </c>
    </row>
    <row r="24" customFormat="false" ht="19.5" hidden="false" customHeight="true" outlineLevel="0" collapsed="false">
      <c r="A24" s="9" t="s">
        <v>62</v>
      </c>
      <c r="B24" s="10" t="s">
        <v>66</v>
      </c>
      <c r="C24" s="11" t="n">
        <v>0.770183849067319</v>
      </c>
      <c r="D24" s="11" t="n">
        <v>0.373772288752863</v>
      </c>
      <c r="E24" s="11" t="n">
        <v>0.306255597905134</v>
      </c>
      <c r="F24" s="11" t="n">
        <v>0.342219734885122</v>
      </c>
      <c r="G24" s="11" t="n">
        <v>0.821909503779654</v>
      </c>
      <c r="H24" s="11" t="n">
        <v>0.388303014132436</v>
      </c>
      <c r="I24" s="11" t="n">
        <v>0.1253</v>
      </c>
      <c r="J24" s="11" t="n">
        <v>0.4919</v>
      </c>
      <c r="K24" s="11" t="n">
        <v>0.6877</v>
      </c>
      <c r="L24" s="11" t="n">
        <v>0.7065</v>
      </c>
    </row>
    <row r="25" customFormat="false" ht="19.5" hidden="false" customHeight="true" outlineLevel="0" collapsed="false">
      <c r="A25" s="9" t="s">
        <v>63</v>
      </c>
      <c r="B25" s="10" t="s">
        <v>66</v>
      </c>
      <c r="C25" s="11" t="n">
        <v>0.768259163299143</v>
      </c>
      <c r="D25" s="11" t="n">
        <v>0.373015498763678</v>
      </c>
      <c r="E25" s="11" t="n">
        <v>0.308647002207636</v>
      </c>
      <c r="F25" s="11" t="n">
        <v>0.339565705089873</v>
      </c>
      <c r="G25" s="11" t="n">
        <v>0.760964185080602</v>
      </c>
      <c r="H25" s="11" t="n">
        <v>0.474687743626321</v>
      </c>
      <c r="I25" s="11" t="n">
        <v>0.1229</v>
      </c>
      <c r="J25" s="11" t="n">
        <v>0.4834</v>
      </c>
      <c r="K25" s="11" t="n">
        <v>0.7029</v>
      </c>
      <c r="L25" s="11" t="n">
        <v>0.7807</v>
      </c>
    </row>
    <row r="26" customFormat="false" ht="19.5" hidden="false" customHeight="true" outlineLevel="0" collapsed="false">
      <c r="A26" s="9" t="s">
        <v>67</v>
      </c>
      <c r="B26" s="10" t="s">
        <v>66</v>
      </c>
      <c r="C26" s="11" t="n">
        <v>0.844695959478165</v>
      </c>
      <c r="D26" s="11" t="n">
        <v>0.43463860993209</v>
      </c>
      <c r="E26" s="11" t="n">
        <v>0.366426769301259</v>
      </c>
      <c r="F26" s="11" t="n">
        <v>0.406088102164931</v>
      </c>
      <c r="G26" s="11" t="n">
        <v>0.820220778603111</v>
      </c>
      <c r="H26" s="11" t="n">
        <v>0.465493566679513</v>
      </c>
      <c r="I26" s="11" t="n">
        <v>0.1613</v>
      </c>
      <c r="J26" s="11" t="n">
        <v>0.5837</v>
      </c>
      <c r="K26" s="11" t="n">
        <v>0.7429</v>
      </c>
      <c r="L26" s="11" t="n">
        <v>0.7824</v>
      </c>
    </row>
    <row r="27" customFormat="false" ht="42" hidden="false" customHeight="true" outlineLevel="0" collapsed="false">
      <c r="A27" s="15" t="s">
        <v>50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</sheetData>
  <mergeCells count="2">
    <mergeCell ref="A14:L14"/>
    <mergeCell ref="A27:L27"/>
  </mergeCells>
  <conditionalFormatting sqref="C6:C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6:D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6:E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6:F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6:G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6:H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6:I1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:J1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6:K1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6:L13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19:C26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9:D26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9:E26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9:F26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19:G26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9:H26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9:I26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9:J26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9:K26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19:L26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6" t="s">
        <v>68</v>
      </c>
    </row>
    <row r="2" customFormat="false" ht="15" hidden="false" customHeight="false" outlineLevel="0" collapsed="false">
      <c r="A2" s="7" t="s">
        <v>69</v>
      </c>
    </row>
    <row r="4" customFormat="false" ht="30" hidden="false" customHeight="true" outlineLevel="0" collapsed="false">
      <c r="A4" s="8" t="s">
        <v>70</v>
      </c>
      <c r="B4" s="8" t="s">
        <v>71</v>
      </c>
      <c r="C4" s="8" t="s">
        <v>72</v>
      </c>
      <c r="D4" s="8" t="s">
        <v>73</v>
      </c>
      <c r="E4" s="8" t="s">
        <v>74</v>
      </c>
      <c r="F4" s="8" t="s">
        <v>75</v>
      </c>
      <c r="G4" s="8" t="s">
        <v>76</v>
      </c>
    </row>
    <row r="5" customFormat="false" ht="15" hidden="false" customHeight="false" outlineLevel="0" collapsed="false">
      <c r="A5" s="17" t="s">
        <v>77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9" t="s">
        <v>36</v>
      </c>
      <c r="B6" s="11" t="n">
        <v>0.959206960490658</v>
      </c>
      <c r="C6" s="11" t="n">
        <v>0.740606417340579</v>
      </c>
      <c r="D6" s="11" t="n">
        <f aca="false">B6-C6</f>
        <v>0.218600543150078</v>
      </c>
      <c r="E6" s="11" t="n">
        <v>0.601358531376509</v>
      </c>
      <c r="F6" s="11" t="n">
        <v>0.424284319508533</v>
      </c>
      <c r="G6" s="11" t="n">
        <f aca="false">E6-F6</f>
        <v>0.177074211867976</v>
      </c>
    </row>
    <row r="7" customFormat="false" ht="15" hidden="false" customHeight="false" outlineLevel="0" collapsed="false">
      <c r="A7" s="9" t="s">
        <v>38</v>
      </c>
      <c r="B7" s="11" t="n">
        <v>0.968335472828413</v>
      </c>
      <c r="C7" s="19" t="s">
        <v>39</v>
      </c>
      <c r="D7" s="20" t="s">
        <v>78</v>
      </c>
      <c r="E7" s="11" t="n">
        <v>0.609893970975083</v>
      </c>
      <c r="F7" s="19" t="s">
        <v>39</v>
      </c>
      <c r="G7" s="20" t="s">
        <v>78</v>
      </c>
    </row>
    <row r="8" customFormat="false" ht="15" hidden="false" customHeight="false" outlineLevel="0" collapsed="false">
      <c r="A8" s="9" t="s">
        <v>41</v>
      </c>
      <c r="B8" s="11" t="n">
        <v>0.976608187134503</v>
      </c>
      <c r="C8" s="11" t="n">
        <v>0.740097499978449</v>
      </c>
      <c r="D8" s="11" t="n">
        <f aca="false">B8-C8</f>
        <v>0.236510687156054</v>
      </c>
      <c r="E8" s="11" t="n">
        <v>0.625460917527363</v>
      </c>
      <c r="F8" s="11" t="n">
        <v>0.39623676896984</v>
      </c>
      <c r="G8" s="11" t="n">
        <f aca="false">E8-F8</f>
        <v>0.229224148557522</v>
      </c>
    </row>
    <row r="9" customFormat="false" ht="15" hidden="false" customHeight="false" outlineLevel="0" collapsed="false">
      <c r="A9" s="9" t="s">
        <v>79</v>
      </c>
      <c r="B9" s="11" t="n">
        <v>0.969333903865355</v>
      </c>
      <c r="C9" s="11" t="n">
        <v>0.785803298153503</v>
      </c>
      <c r="D9" s="11" t="n">
        <f aca="false">B9-C9</f>
        <v>0.183530605711852</v>
      </c>
      <c r="E9" s="11" t="n">
        <v>0.625319540372638</v>
      </c>
      <c r="F9" s="11" t="n">
        <v>0.50075480382326</v>
      </c>
      <c r="G9" s="11" t="n">
        <f aca="false">E9-F9</f>
        <v>0.124564736549378</v>
      </c>
    </row>
    <row r="10" customFormat="false" ht="15" hidden="false" customHeight="false" outlineLevel="0" collapsed="false">
      <c r="A10" s="9" t="s">
        <v>43</v>
      </c>
      <c r="B10" s="11" t="n">
        <v>0.972043930965625</v>
      </c>
      <c r="C10" s="11" t="n">
        <v>0.716249861188792</v>
      </c>
      <c r="D10" s="11" t="n">
        <f aca="false">B10-C10</f>
        <v>0.255794069776834</v>
      </c>
      <c r="E10" s="11" t="n">
        <v>0.63372168360978</v>
      </c>
      <c r="F10" s="11" t="n">
        <v>0.348151593676404</v>
      </c>
      <c r="G10" s="11" t="n">
        <f aca="false">E10-F10</f>
        <v>0.285570089933375</v>
      </c>
    </row>
    <row r="11" customFormat="false" ht="15" hidden="false" customHeight="false" outlineLevel="0" collapsed="false">
      <c r="A11" s="9" t="s">
        <v>44</v>
      </c>
      <c r="B11" s="11" t="n">
        <v>0.965340179717587</v>
      </c>
      <c r="C11" s="11" t="n">
        <v>0.744934975505843</v>
      </c>
      <c r="D11" s="11" t="n">
        <f aca="false">B11-C11</f>
        <v>0.220405204211743</v>
      </c>
      <c r="E11" s="11" t="n">
        <v>0.609496652535446</v>
      </c>
      <c r="F11" s="11" t="n">
        <v>0.430899320170354</v>
      </c>
      <c r="G11" s="11" t="n">
        <f aca="false">E11-F11</f>
        <v>0.178597332365092</v>
      </c>
    </row>
    <row r="12" customFormat="false" ht="15" hidden="false" customHeight="false" outlineLevel="0" collapsed="false">
      <c r="A12" s="9" t="s">
        <v>45</v>
      </c>
      <c r="B12" s="19" t="s">
        <v>39</v>
      </c>
      <c r="C12" s="19" t="s">
        <v>39</v>
      </c>
      <c r="D12" s="20" t="s">
        <v>78</v>
      </c>
      <c r="E12" s="19" t="s">
        <v>39</v>
      </c>
      <c r="F12" s="19" t="s">
        <v>39</v>
      </c>
      <c r="G12" s="20" t="s">
        <v>78</v>
      </c>
    </row>
    <row r="13" customFormat="false" ht="15" hidden="false" customHeight="false" outlineLevel="0" collapsed="false">
      <c r="A13" s="9" t="s">
        <v>46</v>
      </c>
      <c r="B13" s="11" t="n">
        <v>0.977036086150335</v>
      </c>
      <c r="C13" s="11" t="n">
        <v>0.743084316507954</v>
      </c>
      <c r="D13" s="11" t="n">
        <f aca="false">B13-C13</f>
        <v>0.233951769642381</v>
      </c>
      <c r="E13" s="11" t="n">
        <v>0.619589930400402</v>
      </c>
      <c r="F13" s="11" t="n">
        <v>0.410671263374751</v>
      </c>
      <c r="G13" s="11" t="n">
        <f aca="false">E13-F13</f>
        <v>0.208918667025652</v>
      </c>
    </row>
    <row r="14" customFormat="false" ht="15" hidden="false" customHeight="false" outlineLevel="0" collapsed="false">
      <c r="A14" s="9" t="s">
        <v>47</v>
      </c>
      <c r="B14" s="11" t="n">
        <v>0.96348595064898</v>
      </c>
      <c r="C14" s="11" t="n">
        <v>0.753620014226057</v>
      </c>
      <c r="D14" s="11" t="n">
        <f aca="false">B14-C14</f>
        <v>0.209865936422924</v>
      </c>
      <c r="E14" s="11" t="n">
        <v>0.625050068380131</v>
      </c>
      <c r="F14" s="11" t="n">
        <v>0.392941570114444</v>
      </c>
      <c r="G14" s="11" t="n">
        <f aca="false">E14-F14</f>
        <v>0.232108498265687</v>
      </c>
    </row>
    <row r="15" customFormat="false" ht="15" hidden="false" customHeight="false" outlineLevel="0" collapsed="false">
      <c r="A15" s="9" t="s">
        <v>48</v>
      </c>
      <c r="B15" s="11" t="n">
        <v>0.966481243759806</v>
      </c>
      <c r="C15" s="11" t="n">
        <v>0.711487109600966</v>
      </c>
      <c r="D15" s="11" t="n">
        <f aca="false">B15-C15</f>
        <v>0.25499413415884</v>
      </c>
      <c r="E15" s="11" t="n">
        <v>0.61751618985089</v>
      </c>
      <c r="F15" s="11" t="n">
        <v>0.367810419944306</v>
      </c>
      <c r="G15" s="11" t="n">
        <f aca="false">E15-F15</f>
        <v>0.249705769906585</v>
      </c>
    </row>
    <row r="16" customFormat="false" ht="15" hidden="false" customHeight="false" outlineLevel="0" collapsed="false">
      <c r="A16" s="9" t="s">
        <v>49</v>
      </c>
      <c r="B16" s="11" t="n">
        <v>0.944943659962915</v>
      </c>
      <c r="C16" s="11" t="n">
        <v>0.658092755307267</v>
      </c>
      <c r="D16" s="11" t="n">
        <f aca="false">B16-C16</f>
        <v>0.286850904655648</v>
      </c>
      <c r="E16" s="11" t="n">
        <v>0.567400757697987</v>
      </c>
      <c r="F16" s="11" t="n">
        <v>0.31827269872847</v>
      </c>
      <c r="G16" s="11" t="n">
        <f aca="false">E16-F16</f>
        <v>0.249128058969517</v>
      </c>
    </row>
    <row r="18" customFormat="false" ht="15" hidden="false" customHeight="false" outlineLevel="0" collapsed="false">
      <c r="A18" s="17" t="s">
        <v>80</v>
      </c>
      <c r="B18" s="18"/>
      <c r="C18" s="18"/>
      <c r="D18" s="18"/>
      <c r="E18" s="18"/>
      <c r="F18" s="18"/>
      <c r="G18" s="18"/>
    </row>
    <row r="19" customFormat="false" ht="15" hidden="false" customHeight="false" outlineLevel="0" collapsed="false">
      <c r="A19" s="9" t="s">
        <v>55</v>
      </c>
      <c r="B19" s="11" t="n">
        <v>0.908144344601341</v>
      </c>
      <c r="C19" s="11" t="n">
        <v>0.671602011894923</v>
      </c>
      <c r="D19" s="11" t="n">
        <f aca="false">B19-C19</f>
        <v>0.236542332706418</v>
      </c>
      <c r="E19" s="11" t="n">
        <v>0.492801752883658</v>
      </c>
      <c r="F19" s="11" t="n">
        <v>0.350593898444853</v>
      </c>
      <c r="G19" s="11" t="n">
        <f aca="false">E19-F19</f>
        <v>0.142207854438804</v>
      </c>
    </row>
    <row r="20" customFormat="false" ht="15" hidden="false" customHeight="false" outlineLevel="0" collapsed="false">
      <c r="A20" s="9" t="s">
        <v>57</v>
      </c>
      <c r="B20" s="11" t="n">
        <v>0.986046847888953</v>
      </c>
      <c r="C20" s="11" t="n">
        <v>0.717528533111592</v>
      </c>
      <c r="D20" s="11" t="n">
        <f aca="false">B20-C20</f>
        <v>0.268518314777361</v>
      </c>
      <c r="E20" s="11" t="n">
        <v>0.70968953446104</v>
      </c>
      <c r="F20" s="11" t="n">
        <v>0.384385850288679</v>
      </c>
      <c r="G20" s="11" t="n">
        <f aca="false">E20-F20</f>
        <v>0.325303684172361</v>
      </c>
    </row>
    <row r="21" customFormat="false" ht="15" hidden="false" customHeight="false" outlineLevel="0" collapsed="false">
      <c r="A21" s="9" t="s">
        <v>58</v>
      </c>
      <c r="B21" s="11" t="n">
        <v>0.9734702610184</v>
      </c>
      <c r="C21" s="11" t="n">
        <v>0.72730457452442</v>
      </c>
      <c r="D21" s="11" t="n">
        <f aca="false">B21-C21</f>
        <v>0.246165686493979</v>
      </c>
      <c r="E21" s="11" t="n">
        <v>0.640789201024342</v>
      </c>
      <c r="F21" s="11" t="n">
        <v>0.410487288379056</v>
      </c>
      <c r="G21" s="11" t="n">
        <f aca="false">E21-F21</f>
        <v>0.230301912645286</v>
      </c>
    </row>
    <row r="22" customFormat="false" ht="15" hidden="false" customHeight="false" outlineLevel="0" collapsed="false">
      <c r="A22" s="9" t="s">
        <v>60</v>
      </c>
      <c r="B22" s="11" t="n">
        <v>0.969333903865355</v>
      </c>
      <c r="C22" s="11" t="n">
        <v>0.792942903355017</v>
      </c>
      <c r="D22" s="11" t="n">
        <f aca="false">B22-C22</f>
        <v>0.176391000510337</v>
      </c>
      <c r="E22" s="11" t="n">
        <v>0.624298284570503</v>
      </c>
      <c r="F22" s="11" t="n">
        <v>0.51535704704918</v>
      </c>
      <c r="G22" s="11" t="n">
        <f aca="false">E22-F22</f>
        <v>0.108941237521323</v>
      </c>
    </row>
    <row r="23" customFormat="false" ht="15" hidden="false" customHeight="false" outlineLevel="0" collapsed="false">
      <c r="A23" s="9" t="s">
        <v>61</v>
      </c>
      <c r="B23" s="11" t="n">
        <v>0.960490657538154</v>
      </c>
      <c r="C23" s="11" t="n">
        <v>0.797077986279769</v>
      </c>
      <c r="D23" s="11" t="n">
        <f aca="false">B23-C23</f>
        <v>0.163412671258385</v>
      </c>
      <c r="E23" s="11" t="n">
        <v>0.62236660702644</v>
      </c>
      <c r="F23" s="11" t="n">
        <v>0.490965500189913</v>
      </c>
      <c r="G23" s="11" t="n">
        <f aca="false">E23-F23</f>
        <v>0.131401106836527</v>
      </c>
    </row>
    <row r="24" customFormat="false" ht="15" hidden="false" customHeight="false" outlineLevel="0" collapsed="false">
      <c r="A24" s="9" t="s">
        <v>62</v>
      </c>
      <c r="B24" s="11" t="n">
        <v>0.976608187134503</v>
      </c>
      <c r="C24" s="11" t="n">
        <v>0.772574241863437</v>
      </c>
      <c r="D24" s="11" t="n">
        <f aca="false">B24-C24</f>
        <v>0.204033945271066</v>
      </c>
      <c r="E24" s="11" t="n">
        <v>0.656301449860821</v>
      </c>
      <c r="F24" s="11" t="n">
        <v>0.518534364645396</v>
      </c>
      <c r="G24" s="11" t="n">
        <f aca="false">E24-F24</f>
        <v>0.137767085215425</v>
      </c>
    </row>
    <row r="25" customFormat="false" ht="15" hidden="false" customHeight="false" outlineLevel="0" collapsed="false">
      <c r="A25" s="9" t="s">
        <v>63</v>
      </c>
      <c r="B25" s="11" t="n">
        <v>0.976322921123948</v>
      </c>
      <c r="C25" s="11" t="n">
        <v>0.823747762730255</v>
      </c>
      <c r="D25" s="11" t="n">
        <f aca="false">B25-C25</f>
        <v>0.152575158393693</v>
      </c>
      <c r="E25" s="11" t="n">
        <v>0.629906677958489</v>
      </c>
      <c r="F25" s="11" t="n">
        <v>0.535189733870206</v>
      </c>
      <c r="G25" s="11" t="n">
        <f aca="false">E25-F25</f>
        <v>0.0947169440882822</v>
      </c>
    </row>
    <row r="26" customFormat="false" ht="15" hidden="false" customHeight="false" outlineLevel="0" collapsed="false">
      <c r="A26" s="9" t="s">
        <v>67</v>
      </c>
      <c r="B26" s="11" t="n">
        <v>0.978605049208387</v>
      </c>
      <c r="C26" s="11" t="n">
        <v>0.844676945854269</v>
      </c>
      <c r="D26" s="11" t="n">
        <f aca="false">B26-C26</f>
        <v>0.133928103354117</v>
      </c>
      <c r="E26" s="11" t="n">
        <v>0.680563936309023</v>
      </c>
      <c r="F26" s="11" t="n">
        <v>0.574054555896384</v>
      </c>
      <c r="G26" s="11" t="n">
        <f aca="false">E26-F26</f>
        <v>0.106509380412639</v>
      </c>
    </row>
  </sheetData>
  <conditionalFormatting sqref="B5:B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5:C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5:E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5:F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11" min="3" style="0" width="11"/>
  </cols>
  <sheetData>
    <row r="1" customFormat="false" ht="16.15" hidden="false" customHeight="false" outlineLevel="0" collapsed="false">
      <c r="A1" s="6" t="s">
        <v>81</v>
      </c>
    </row>
    <row r="2" customFormat="false" ht="15" hidden="false" customHeight="false" outlineLevel="0" collapsed="false">
      <c r="A2" s="7" t="s">
        <v>82</v>
      </c>
    </row>
    <row r="4" customFormat="false" ht="30" hidden="false" customHeight="true" outlineLevel="0" collapsed="false">
      <c r="A4" s="8" t="s">
        <v>83</v>
      </c>
      <c r="B4" s="8" t="s">
        <v>36</v>
      </c>
      <c r="C4" s="8" t="s">
        <v>41</v>
      </c>
      <c r="D4" s="8" t="s">
        <v>79</v>
      </c>
      <c r="E4" s="8" t="s">
        <v>43</v>
      </c>
      <c r="F4" s="8" t="s">
        <v>44</v>
      </c>
      <c r="G4" s="8" t="s">
        <v>46</v>
      </c>
      <c r="H4" s="8" t="s">
        <v>47</v>
      </c>
      <c r="I4" s="8" t="s">
        <v>48</v>
      </c>
      <c r="J4" s="8" t="s">
        <v>49</v>
      </c>
    </row>
    <row r="5" customFormat="false" ht="18.75" hidden="false" customHeight="true" outlineLevel="0" collapsed="false">
      <c r="A5" s="21" t="s">
        <v>84</v>
      </c>
      <c r="B5" s="11" t="n">
        <v>0.2963</v>
      </c>
      <c r="C5" s="11" t="n">
        <v>0.3199</v>
      </c>
      <c r="D5" s="11" t="n">
        <v>0.3472</v>
      </c>
      <c r="E5" s="11" t="n">
        <v>0.2438</v>
      </c>
      <c r="F5" s="11" t="n">
        <v>0.2923</v>
      </c>
      <c r="G5" s="11" t="n">
        <v>0.2766</v>
      </c>
      <c r="H5" s="11" t="n">
        <v>0.2603</v>
      </c>
      <c r="I5" s="11" t="n">
        <v>0.28</v>
      </c>
      <c r="J5" s="11" t="n">
        <v>0.2192</v>
      </c>
    </row>
    <row r="6" customFormat="false" ht="18.75" hidden="false" customHeight="true" outlineLevel="0" collapsed="false">
      <c r="A6" s="21" t="s">
        <v>85</v>
      </c>
      <c r="B6" s="11" t="n">
        <v>0.2607</v>
      </c>
      <c r="C6" s="11" t="n">
        <v>0.2164</v>
      </c>
      <c r="D6" s="11" t="n">
        <v>0.347</v>
      </c>
      <c r="E6" s="11" t="n">
        <v>0.1717</v>
      </c>
      <c r="F6" s="11" t="n">
        <v>0.2874</v>
      </c>
      <c r="G6" s="11" t="n">
        <v>0.26</v>
      </c>
      <c r="H6" s="11" t="n">
        <v>0.2244</v>
      </c>
      <c r="I6" s="11" t="n">
        <v>0.2252</v>
      </c>
      <c r="J6" s="11" t="n">
        <v>0.2164</v>
      </c>
    </row>
    <row r="7" customFormat="false" ht="18.75" hidden="false" customHeight="true" outlineLevel="0" collapsed="false">
      <c r="A7" s="21" t="s">
        <v>86</v>
      </c>
      <c r="B7" s="11" t="n">
        <v>0.4974</v>
      </c>
      <c r="C7" s="11" t="n">
        <v>0.4805</v>
      </c>
      <c r="D7" s="11" t="n">
        <v>0.5642</v>
      </c>
      <c r="E7" s="11" t="n">
        <v>0.4299</v>
      </c>
      <c r="F7" s="11" t="n">
        <v>0.4927</v>
      </c>
      <c r="G7" s="11" t="n">
        <v>0.471</v>
      </c>
      <c r="H7" s="11" t="n">
        <v>0.4487</v>
      </c>
      <c r="I7" s="11" t="n">
        <v>0.4281</v>
      </c>
      <c r="J7" s="11" t="n">
        <v>0.3375</v>
      </c>
    </row>
    <row r="8" customFormat="false" ht="18.75" hidden="false" customHeight="true" outlineLevel="0" collapsed="false">
      <c r="A8" s="21" t="s">
        <v>87</v>
      </c>
      <c r="B8" s="11" t="n">
        <v>0.2605</v>
      </c>
      <c r="C8" s="11" t="n">
        <v>0.2138</v>
      </c>
      <c r="D8" s="11" t="n">
        <v>0.3542</v>
      </c>
      <c r="E8" s="11" t="n">
        <v>0.1895</v>
      </c>
      <c r="F8" s="11" t="n">
        <v>0.2943</v>
      </c>
      <c r="G8" s="11" t="n">
        <v>0.2637</v>
      </c>
      <c r="H8" s="11" t="n">
        <v>0.243</v>
      </c>
      <c r="I8" s="11" t="n">
        <v>0.2278</v>
      </c>
      <c r="J8" s="11" t="n">
        <v>0.2182</v>
      </c>
    </row>
    <row r="9" customFormat="false" ht="18.75" hidden="false" customHeight="true" outlineLevel="0" collapsed="false">
      <c r="A9" s="21" t="s">
        <v>88</v>
      </c>
      <c r="B9" s="11" t="n">
        <v>0.4221</v>
      </c>
      <c r="C9" s="11" t="n">
        <v>0.3928</v>
      </c>
      <c r="D9" s="11" t="n">
        <v>0.4507</v>
      </c>
      <c r="E9" s="11" t="n">
        <v>0.3411</v>
      </c>
      <c r="F9" s="11" t="n">
        <v>0.3853</v>
      </c>
      <c r="G9" s="11" t="n">
        <v>0.3582</v>
      </c>
      <c r="H9" s="11" t="n">
        <v>0.3296</v>
      </c>
      <c r="I9" s="11" t="n">
        <v>0.3061</v>
      </c>
      <c r="J9" s="11" t="n">
        <v>0.2959</v>
      </c>
    </row>
    <row r="10" customFormat="false" ht="18.75" hidden="false" customHeight="true" outlineLevel="0" collapsed="false">
      <c r="A10" s="21" t="s">
        <v>89</v>
      </c>
      <c r="B10" s="11" t="n">
        <v>0.2863</v>
      </c>
      <c r="C10" s="11" t="n">
        <v>0.2382</v>
      </c>
      <c r="D10" s="11" t="n">
        <v>0.3414</v>
      </c>
      <c r="E10" s="11" t="n">
        <v>0.1852</v>
      </c>
      <c r="F10" s="11" t="n">
        <v>0.2852</v>
      </c>
      <c r="G10" s="11" t="n">
        <v>0.2299</v>
      </c>
      <c r="H10" s="11" t="n">
        <v>0.2346</v>
      </c>
      <c r="I10" s="11" t="n">
        <v>0.1855</v>
      </c>
      <c r="J10" s="11" t="n">
        <v>0.2237</v>
      </c>
    </row>
    <row r="11" customFormat="false" ht="18.75" hidden="false" customHeight="true" outlineLevel="0" collapsed="false">
      <c r="A11" s="21" t="s">
        <v>90</v>
      </c>
      <c r="B11" s="11" t="n">
        <v>0.755</v>
      </c>
      <c r="C11" s="11" t="n">
        <v>0.7127</v>
      </c>
      <c r="D11" s="11" t="n">
        <v>0.7941</v>
      </c>
      <c r="E11" s="11" t="n">
        <v>0.6913</v>
      </c>
      <c r="F11" s="11" t="n">
        <v>0.748</v>
      </c>
      <c r="G11" s="11" t="n">
        <v>0.7186</v>
      </c>
      <c r="H11" s="11" t="n">
        <v>0.7252</v>
      </c>
      <c r="I11" s="11" t="n">
        <v>0.6709</v>
      </c>
      <c r="J11" s="11" t="n">
        <v>0.5846</v>
      </c>
    </row>
    <row r="12" customFormat="false" ht="18.75" hidden="false" customHeight="true" outlineLevel="0" collapsed="false">
      <c r="A12" s="21" t="s">
        <v>91</v>
      </c>
      <c r="B12" s="11" t="n">
        <v>0.4485</v>
      </c>
      <c r="C12" s="11" t="n">
        <v>0.4016</v>
      </c>
      <c r="D12" s="11" t="n">
        <v>0.4993</v>
      </c>
      <c r="E12" s="11" t="n">
        <v>0.3565</v>
      </c>
      <c r="F12" s="11" t="n">
        <v>0.4469</v>
      </c>
      <c r="G12" s="11" t="n">
        <v>0.4254</v>
      </c>
      <c r="H12" s="11" t="n">
        <v>0.4218</v>
      </c>
      <c r="I12" s="11" t="n">
        <v>0.3558</v>
      </c>
      <c r="J12" s="11" t="n">
        <v>0.3381</v>
      </c>
    </row>
    <row r="13" customFormat="false" ht="18.75" hidden="false" customHeight="true" outlineLevel="0" collapsed="false">
      <c r="A13" s="21" t="s">
        <v>92</v>
      </c>
      <c r="B13" s="11" t="n">
        <v>0.4604</v>
      </c>
      <c r="C13" s="11" t="n">
        <v>0.4693</v>
      </c>
      <c r="D13" s="11" t="n">
        <v>0.5513</v>
      </c>
      <c r="E13" s="11" t="n">
        <v>0.4058</v>
      </c>
      <c r="F13" s="11" t="n">
        <v>0.4583</v>
      </c>
      <c r="G13" s="11" t="n">
        <v>0.4653</v>
      </c>
      <c r="H13" s="11" t="n">
        <v>0.4435</v>
      </c>
      <c r="I13" s="11" t="n">
        <v>0.4211</v>
      </c>
      <c r="J13" s="11" t="n">
        <v>0.3385</v>
      </c>
    </row>
    <row r="14" customFormat="false" ht="18.75" hidden="false" customHeight="true" outlineLevel="0" collapsed="false">
      <c r="A14" s="21" t="s">
        <v>93</v>
      </c>
      <c r="B14" s="11" t="n">
        <v>0.4072</v>
      </c>
      <c r="C14" s="11" t="n">
        <v>0.3752</v>
      </c>
      <c r="D14" s="11" t="n">
        <v>0.54</v>
      </c>
      <c r="E14" s="11" t="n">
        <v>0.3108</v>
      </c>
      <c r="F14" s="11" t="n">
        <v>0.44</v>
      </c>
      <c r="G14" s="11" t="n">
        <v>0.4283</v>
      </c>
      <c r="H14" s="11" t="n">
        <v>0.4116</v>
      </c>
      <c r="I14" s="11" t="n">
        <v>0.4014</v>
      </c>
      <c r="J14" s="11" t="n">
        <v>0.3024</v>
      </c>
    </row>
    <row r="15" customFormat="false" ht="18.75" hidden="false" customHeight="true" outlineLevel="0" collapsed="false">
      <c r="A15" s="21" t="s">
        <v>94</v>
      </c>
      <c r="B15" s="11" t="n">
        <v>0.6221</v>
      </c>
      <c r="C15" s="11" t="n">
        <v>0.6011</v>
      </c>
      <c r="D15" s="11" t="n">
        <v>0.7217</v>
      </c>
      <c r="E15" s="11" t="n">
        <v>0.5645</v>
      </c>
      <c r="F15" s="11" t="n">
        <v>0.6347</v>
      </c>
      <c r="G15" s="11" t="n">
        <v>0.612</v>
      </c>
      <c r="H15" s="11" t="n">
        <v>0.6124</v>
      </c>
      <c r="I15" s="11" t="n">
        <v>0.5451</v>
      </c>
      <c r="J15" s="11" t="n">
        <v>0.4592</v>
      </c>
    </row>
    <row r="16" customFormat="false" ht="18.75" hidden="false" customHeight="true" outlineLevel="0" collapsed="false">
      <c r="A16" s="21" t="s">
        <v>95</v>
      </c>
      <c r="B16" s="11" t="n">
        <v>0.364</v>
      </c>
      <c r="C16" s="11" t="n">
        <v>0.3205</v>
      </c>
      <c r="D16" s="11" t="n">
        <v>0.4802</v>
      </c>
      <c r="E16" s="11" t="n">
        <v>0.2741</v>
      </c>
      <c r="F16" s="11" t="n">
        <v>0.389</v>
      </c>
      <c r="G16" s="11" t="n">
        <v>0.3994</v>
      </c>
      <c r="H16" s="11" t="n">
        <v>0.3409</v>
      </c>
      <c r="I16" s="11" t="n">
        <v>0.3457</v>
      </c>
      <c r="J16" s="11" t="n">
        <v>0.2757</v>
      </c>
    </row>
    <row r="17" customFormat="false" ht="18.75" hidden="false" customHeight="true" outlineLevel="0" collapsed="false">
      <c r="A17" s="22" t="s">
        <v>96</v>
      </c>
      <c r="B17" s="23" t="n">
        <v>0.423375</v>
      </c>
      <c r="C17" s="23" t="n">
        <v>0.395166666666667</v>
      </c>
      <c r="D17" s="23" t="n">
        <v>0.499275</v>
      </c>
      <c r="E17" s="23" t="n">
        <v>0.347016666666667</v>
      </c>
      <c r="F17" s="23" t="n">
        <v>0.429508333333333</v>
      </c>
      <c r="G17" s="23" t="n">
        <v>0.409033333333333</v>
      </c>
      <c r="H17" s="23" t="n">
        <v>0.391333333333333</v>
      </c>
      <c r="I17" s="23" t="n">
        <v>0.366058333333333</v>
      </c>
      <c r="J17" s="23" t="n">
        <v>0.31745</v>
      </c>
    </row>
  </sheetData>
  <conditionalFormatting sqref="B5:J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9" min="3" style="0" width="11"/>
  </cols>
  <sheetData>
    <row r="1" customFormat="false" ht="16.15" hidden="false" customHeight="false" outlineLevel="0" collapsed="false">
      <c r="A1" s="6" t="s">
        <v>97</v>
      </c>
    </row>
    <row r="2" customFormat="false" ht="15" hidden="false" customHeight="false" outlineLevel="0" collapsed="false">
      <c r="A2" s="7" t="s">
        <v>98</v>
      </c>
    </row>
    <row r="4" customFormat="false" ht="30" hidden="false" customHeight="true" outlineLevel="0" collapsed="false">
      <c r="A4" s="8" t="s">
        <v>83</v>
      </c>
      <c r="B4" s="8" t="s">
        <v>55</v>
      </c>
      <c r="C4" s="8" t="s">
        <v>57</v>
      </c>
      <c r="D4" s="8" t="s">
        <v>60</v>
      </c>
      <c r="E4" s="8" t="s">
        <v>61</v>
      </c>
      <c r="F4" s="8" t="s">
        <v>62</v>
      </c>
      <c r="G4" s="8" t="s">
        <v>63</v>
      </c>
      <c r="H4" s="8" t="s">
        <v>67</v>
      </c>
    </row>
    <row r="5" customFormat="false" ht="18.75" hidden="false" customHeight="true" outlineLevel="0" collapsed="false">
      <c r="A5" s="21" t="s">
        <v>84</v>
      </c>
      <c r="B5" s="11" t="n">
        <v>0.2444</v>
      </c>
      <c r="C5" s="11" t="n">
        <v>0.2889</v>
      </c>
      <c r="D5" s="11" t="n">
        <v>0.3037</v>
      </c>
      <c r="E5" s="11" t="n">
        <v>0.3145</v>
      </c>
      <c r="F5" s="11" t="n">
        <v>0.3217</v>
      </c>
      <c r="G5" s="11" t="n">
        <v>0.3373</v>
      </c>
      <c r="H5" s="11" t="n">
        <v>0.2823</v>
      </c>
    </row>
    <row r="6" customFormat="false" ht="18.75" hidden="false" customHeight="true" outlineLevel="0" collapsed="false">
      <c r="A6" s="21" t="s">
        <v>85</v>
      </c>
      <c r="B6" s="11" t="n">
        <v>0.2854</v>
      </c>
      <c r="C6" s="11" t="n">
        <v>0.2724</v>
      </c>
      <c r="D6" s="11" t="n">
        <v>0.4001</v>
      </c>
      <c r="E6" s="11" t="n">
        <v>0.3424</v>
      </c>
      <c r="F6" s="11" t="n">
        <v>0.3758</v>
      </c>
      <c r="G6" s="11" t="n">
        <v>0.3838</v>
      </c>
      <c r="H6" s="11" t="n">
        <v>0.4611</v>
      </c>
    </row>
    <row r="7" customFormat="false" ht="18.75" hidden="false" customHeight="true" outlineLevel="0" collapsed="false">
      <c r="A7" s="21" t="s">
        <v>86</v>
      </c>
      <c r="B7" s="11" t="n">
        <v>0.3095</v>
      </c>
      <c r="C7" s="11" t="n">
        <v>0.4079</v>
      </c>
      <c r="D7" s="11" t="n">
        <v>0.5438</v>
      </c>
      <c r="E7" s="11" t="n">
        <v>0.5628</v>
      </c>
      <c r="F7" s="11" t="n">
        <v>0.6086</v>
      </c>
      <c r="G7" s="11" t="n">
        <v>0.6526</v>
      </c>
      <c r="H7" s="11" t="n">
        <v>0.6444</v>
      </c>
    </row>
    <row r="8" customFormat="false" ht="18.75" hidden="false" customHeight="true" outlineLevel="0" collapsed="false">
      <c r="A8" s="21" t="s">
        <v>87</v>
      </c>
      <c r="B8" s="11" t="n">
        <v>0.2852</v>
      </c>
      <c r="C8" s="11" t="n">
        <v>0.286</v>
      </c>
      <c r="D8" s="11" t="n">
        <v>0.3992</v>
      </c>
      <c r="E8" s="11" t="n">
        <v>0.3475</v>
      </c>
      <c r="F8" s="11" t="n">
        <v>0.389</v>
      </c>
      <c r="G8" s="11" t="n">
        <v>0.4</v>
      </c>
      <c r="H8" s="11" t="n">
        <v>0.4621</v>
      </c>
    </row>
    <row r="9" customFormat="false" ht="18.75" hidden="false" customHeight="true" outlineLevel="0" collapsed="false">
      <c r="A9" s="21" t="s">
        <v>88</v>
      </c>
      <c r="B9" s="11" t="n">
        <v>0.3712</v>
      </c>
      <c r="C9" s="11" t="n">
        <v>0.3756</v>
      </c>
      <c r="D9" s="11" t="n">
        <v>0.4204</v>
      </c>
      <c r="E9" s="11" t="n">
        <v>0.4063</v>
      </c>
      <c r="F9" s="11" t="n">
        <v>0.4051</v>
      </c>
      <c r="G9" s="11" t="n">
        <v>0.4361</v>
      </c>
      <c r="H9" s="11" t="n">
        <v>0.4242</v>
      </c>
    </row>
    <row r="10" customFormat="false" ht="18.75" hidden="false" customHeight="true" outlineLevel="0" collapsed="false">
      <c r="A10" s="21" t="s">
        <v>89</v>
      </c>
      <c r="B10" s="11" t="n">
        <v>0.2755</v>
      </c>
      <c r="C10" s="11" t="n">
        <v>0.238</v>
      </c>
      <c r="D10" s="11" t="n">
        <v>0.3934</v>
      </c>
      <c r="E10" s="11" t="n">
        <v>0.3329</v>
      </c>
      <c r="F10" s="11" t="n">
        <v>0.3844</v>
      </c>
      <c r="G10" s="11" t="n">
        <v>0.3659</v>
      </c>
      <c r="H10" s="11" t="n">
        <v>0.4859</v>
      </c>
    </row>
    <row r="11" customFormat="false" ht="18.75" hidden="false" customHeight="true" outlineLevel="0" collapsed="false">
      <c r="A11" s="21" t="s">
        <v>90</v>
      </c>
      <c r="B11" s="11" t="n">
        <v>0.5717</v>
      </c>
      <c r="C11" s="11" t="n">
        <v>0.6502</v>
      </c>
      <c r="D11" s="11" t="n">
        <v>0.7983</v>
      </c>
      <c r="E11" s="11" t="n">
        <v>0.7921</v>
      </c>
      <c r="F11" s="11" t="n">
        <v>0.8107</v>
      </c>
      <c r="G11" s="11" t="n">
        <v>0.8511</v>
      </c>
      <c r="H11" s="11" t="n">
        <v>0.8619</v>
      </c>
    </row>
    <row r="12" customFormat="false" ht="18.75" hidden="false" customHeight="true" outlineLevel="0" collapsed="false">
      <c r="A12" s="21" t="s">
        <v>91</v>
      </c>
      <c r="B12" s="11" t="n">
        <v>0.3658</v>
      </c>
      <c r="C12" s="11" t="n">
        <v>0.376</v>
      </c>
      <c r="D12" s="11" t="n">
        <v>0.5624</v>
      </c>
      <c r="E12" s="11" t="n">
        <v>0.5119</v>
      </c>
      <c r="F12" s="11" t="n">
        <v>0.564</v>
      </c>
      <c r="G12" s="11" t="n">
        <v>0.5672</v>
      </c>
      <c r="H12" s="11" t="n">
        <v>0.669</v>
      </c>
    </row>
    <row r="13" customFormat="false" ht="18.75" hidden="false" customHeight="true" outlineLevel="0" collapsed="false">
      <c r="A13" s="21" t="s">
        <v>92</v>
      </c>
      <c r="B13" s="11" t="n">
        <v>0.3909</v>
      </c>
      <c r="C13" s="11" t="n">
        <v>0.4444</v>
      </c>
      <c r="D13" s="11" t="n">
        <v>0.5064</v>
      </c>
      <c r="E13" s="11" t="n">
        <v>0.5208</v>
      </c>
      <c r="F13" s="11" t="n">
        <v>0.5077</v>
      </c>
      <c r="G13" s="11" t="n">
        <v>0.5167</v>
      </c>
      <c r="H13" s="11" t="n">
        <v>0.4759</v>
      </c>
    </row>
    <row r="14" customFormat="false" ht="18.75" hidden="false" customHeight="true" outlineLevel="0" collapsed="false">
      <c r="A14" s="21" t="s">
        <v>93</v>
      </c>
      <c r="B14" s="11" t="n">
        <v>0.3459</v>
      </c>
      <c r="C14" s="11" t="n">
        <v>0.3828</v>
      </c>
      <c r="D14" s="11" t="n">
        <v>0.5934</v>
      </c>
      <c r="E14" s="11" t="n">
        <v>0.5289</v>
      </c>
      <c r="F14" s="11" t="n">
        <v>0.5709</v>
      </c>
      <c r="G14" s="11" t="n">
        <v>0.5734</v>
      </c>
      <c r="H14" s="11" t="n">
        <v>0.6614</v>
      </c>
    </row>
    <row r="15" customFormat="false" ht="18.75" hidden="false" customHeight="true" outlineLevel="0" collapsed="false">
      <c r="A15" s="21" t="s">
        <v>94</v>
      </c>
      <c r="B15" s="11" t="n">
        <v>0.4285</v>
      </c>
      <c r="C15" s="11" t="n">
        <v>0.527</v>
      </c>
      <c r="D15" s="11" t="n">
        <v>0.6959</v>
      </c>
      <c r="E15" s="11" t="n">
        <v>0.7102</v>
      </c>
      <c r="F15" s="11" t="n">
        <v>0.7288</v>
      </c>
      <c r="G15" s="11" t="n">
        <v>0.7759</v>
      </c>
      <c r="H15" s="11" t="n">
        <v>0.7817</v>
      </c>
    </row>
    <row r="16" customFormat="false" ht="18.75" hidden="false" customHeight="true" outlineLevel="0" collapsed="false">
      <c r="A16" s="21" t="s">
        <v>95</v>
      </c>
      <c r="B16" s="11" t="n">
        <v>0.3296</v>
      </c>
      <c r="C16" s="11" t="n">
        <v>0.3511</v>
      </c>
      <c r="D16" s="11" t="n">
        <v>0.547</v>
      </c>
      <c r="E16" s="11" t="n">
        <v>0.4994</v>
      </c>
      <c r="F16" s="11" t="n">
        <v>0.5326</v>
      </c>
      <c r="G16" s="11" t="n">
        <v>0.5382</v>
      </c>
      <c r="H16" s="11" t="n">
        <v>0.6552</v>
      </c>
    </row>
    <row r="17" customFormat="false" ht="18.75" hidden="false" customHeight="true" outlineLevel="0" collapsed="false">
      <c r="A17" s="22" t="s">
        <v>96</v>
      </c>
      <c r="B17" s="23" t="n">
        <v>0.3503</v>
      </c>
      <c r="C17" s="23" t="n">
        <v>0.383358333333333</v>
      </c>
      <c r="D17" s="23" t="n">
        <v>0.513666666666667</v>
      </c>
      <c r="E17" s="23" t="n">
        <v>0.489141666666667</v>
      </c>
      <c r="F17" s="23" t="n">
        <v>0.516608333333333</v>
      </c>
      <c r="G17" s="23" t="n">
        <v>0.533183333333333</v>
      </c>
      <c r="H17" s="23" t="n">
        <v>0.572091666666667</v>
      </c>
    </row>
  </sheetData>
  <conditionalFormatting sqref="B5:H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6" t="s">
        <v>99</v>
      </c>
    </row>
    <row r="2" customFormat="false" ht="15" hidden="false" customHeight="false" outlineLevel="0" collapsed="false">
      <c r="A2" s="7" t="s">
        <v>100</v>
      </c>
    </row>
    <row r="4" customFormat="false" ht="30" hidden="false" customHeight="true" outlineLevel="0" collapsed="false">
      <c r="A4" s="8" t="s">
        <v>54</v>
      </c>
      <c r="B4" s="8" t="s">
        <v>101</v>
      </c>
      <c r="C4" s="8" t="s">
        <v>102</v>
      </c>
      <c r="D4" s="8" t="s">
        <v>73</v>
      </c>
      <c r="E4" s="8" t="s">
        <v>103</v>
      </c>
      <c r="F4" s="8" t="s">
        <v>104</v>
      </c>
      <c r="G4" s="8" t="s">
        <v>105</v>
      </c>
      <c r="H4" s="8" t="s">
        <v>106</v>
      </c>
      <c r="I4" s="8" t="s">
        <v>107</v>
      </c>
      <c r="J4" s="8" t="s">
        <v>108</v>
      </c>
    </row>
    <row r="5" customFormat="false" ht="15" hidden="false" customHeight="false" outlineLevel="0" collapsed="false">
      <c r="A5" s="9" t="s">
        <v>55</v>
      </c>
      <c r="B5" s="11" t="n">
        <v>0.671602011894923</v>
      </c>
      <c r="C5" s="11" t="n">
        <v>0.657360554082352</v>
      </c>
      <c r="D5" s="11" t="n">
        <f aca="false">B5-C5</f>
        <v>0.0142414578125714</v>
      </c>
      <c r="E5" s="11" t="n">
        <v>0.350593898444853</v>
      </c>
      <c r="F5" s="11" t="n">
        <v>0.292344381721103</v>
      </c>
      <c r="G5" s="11" t="n">
        <f aca="false">E5-F5</f>
        <v>0.0582495167237502</v>
      </c>
      <c r="H5" s="11" t="n">
        <v>0.272100843147927</v>
      </c>
      <c r="I5" s="11" t="n">
        <v>0.216617130504137</v>
      </c>
      <c r="J5" s="11" t="n">
        <f aca="false">H5-I5</f>
        <v>0.0554837126437905</v>
      </c>
    </row>
    <row r="6" customFormat="false" ht="15" hidden="false" customHeight="false" outlineLevel="0" collapsed="false">
      <c r="A6" s="9" t="s">
        <v>57</v>
      </c>
      <c r="B6" s="11" t="n">
        <v>0.717528533111592</v>
      </c>
      <c r="C6" s="11" t="n">
        <v>0.729448047174068</v>
      </c>
      <c r="D6" s="11" t="n">
        <f aca="false">B6-C6</f>
        <v>-0.0119195140624763</v>
      </c>
      <c r="E6" s="11" t="n">
        <v>0.384385850288679</v>
      </c>
      <c r="F6" s="11" t="n">
        <v>0.310936489605754</v>
      </c>
      <c r="G6" s="11" t="n">
        <f aca="false">E6-F6</f>
        <v>0.0734493606829254</v>
      </c>
      <c r="H6" s="11" t="n">
        <v>0.31704899097984</v>
      </c>
      <c r="I6" s="11" t="n">
        <v>0.244578892631079</v>
      </c>
      <c r="J6" s="11" t="n">
        <f aca="false">H6-I6</f>
        <v>0.0724700983487605</v>
      </c>
    </row>
    <row r="7" customFormat="false" ht="15" hidden="false" customHeight="false" outlineLevel="0" collapsed="false">
      <c r="A7" s="9" t="s">
        <v>109</v>
      </c>
      <c r="B7" s="11" t="n">
        <v>0.743084316507954</v>
      </c>
      <c r="C7" s="11" t="n">
        <v>0.761623662074665</v>
      </c>
      <c r="D7" s="11" t="n">
        <f aca="false">B7-C7</f>
        <v>-0.0185393455667109</v>
      </c>
      <c r="E7" s="11" t="n">
        <v>0.410671263374751</v>
      </c>
      <c r="F7" s="11" t="n">
        <v>0.379616790988103</v>
      </c>
      <c r="G7" s="11" t="n">
        <f aca="false">E7-F7</f>
        <v>0.0310544723866482</v>
      </c>
      <c r="H7" s="11" t="n">
        <v>0.34959460934294</v>
      </c>
      <c r="I7" s="11" t="n">
        <v>0.310086575767002</v>
      </c>
      <c r="J7" s="11" t="n">
        <f aca="false">H7-I7</f>
        <v>0.0395080335759378</v>
      </c>
    </row>
    <row r="8" customFormat="false" ht="15" hidden="false" customHeight="false" outlineLevel="0" collapsed="false">
      <c r="A8" s="9" t="s">
        <v>60</v>
      </c>
      <c r="B8" s="11" t="n">
        <v>0.792942903355017</v>
      </c>
      <c r="C8" s="11" t="n">
        <v>0.792896763627698</v>
      </c>
      <c r="D8" s="11" t="n">
        <f aca="false">B8-C8</f>
        <v>4.6139727319261E-005</v>
      </c>
      <c r="E8" s="11" t="n">
        <v>0.51535704704918</v>
      </c>
      <c r="F8" s="11" t="n">
        <v>0.421838253300939</v>
      </c>
      <c r="G8" s="11" t="n">
        <f aca="false">E8-F8</f>
        <v>0.0935187937482409</v>
      </c>
      <c r="H8" s="11" t="n">
        <v>0.444724355711997</v>
      </c>
      <c r="I8" s="11" t="n">
        <v>0.349193004656537</v>
      </c>
      <c r="J8" s="11" t="n">
        <f aca="false">H8-I8</f>
        <v>0.0955313510554606</v>
      </c>
    </row>
    <row r="9" customFormat="false" ht="15" hidden="false" customHeight="false" outlineLevel="0" collapsed="false">
      <c r="A9" s="9" t="s">
        <v>61</v>
      </c>
      <c r="B9" s="11" t="n">
        <v>0.797077986279769</v>
      </c>
      <c r="C9" s="11" t="n">
        <v>0.755378066897534</v>
      </c>
      <c r="D9" s="11" t="n">
        <f aca="false">B9-C9</f>
        <v>0.0416999193822347</v>
      </c>
      <c r="E9" s="11" t="n">
        <v>0.490965500189913</v>
      </c>
      <c r="F9" s="11" t="n">
        <v>0.353030176568782</v>
      </c>
      <c r="G9" s="11" t="n">
        <f aca="false">E9-F9</f>
        <v>0.137935323621131</v>
      </c>
      <c r="H9" s="11" t="n">
        <v>0.4248778121896</v>
      </c>
      <c r="I9" s="11" t="n">
        <v>0.284199674794839</v>
      </c>
      <c r="J9" s="11" t="n">
        <f aca="false">H9-I9</f>
        <v>0.140678137394762</v>
      </c>
    </row>
    <row r="10" customFormat="false" ht="15" hidden="false" customHeight="false" outlineLevel="0" collapsed="false">
      <c r="A10" s="9" t="s">
        <v>62</v>
      </c>
      <c r="B10" s="11" t="n">
        <v>0.772574241863437</v>
      </c>
      <c r="C10" s="11" t="n">
        <v>0.770183849067319</v>
      </c>
      <c r="D10" s="11" t="n">
        <f aca="false">B10-C10</f>
        <v>0.00239039279611797</v>
      </c>
      <c r="E10" s="11" t="n">
        <v>0.518534364645396</v>
      </c>
      <c r="F10" s="11" t="n">
        <v>0.373772288752863</v>
      </c>
      <c r="G10" s="11" t="n">
        <f aca="false">E10-F10</f>
        <v>0.144762075892533</v>
      </c>
      <c r="H10" s="11" t="n">
        <v>0.450666212876516</v>
      </c>
      <c r="I10" s="11" t="n">
        <v>0.306255597905134</v>
      </c>
      <c r="J10" s="11" t="n">
        <f aca="false">H10-I10</f>
        <v>0.144410614971382</v>
      </c>
    </row>
    <row r="11" customFormat="false" ht="15" hidden="false" customHeight="false" outlineLevel="0" collapsed="false">
      <c r="A11" s="9" t="s">
        <v>63</v>
      </c>
      <c r="B11" s="11" t="n">
        <v>0.823747762730255</v>
      </c>
      <c r="C11" s="11" t="n">
        <v>0.768259163299143</v>
      </c>
      <c r="D11" s="11" t="n">
        <f aca="false">B11-C11</f>
        <v>0.0554885994311124</v>
      </c>
      <c r="E11" s="11" t="n">
        <v>0.535189733870206</v>
      </c>
      <c r="F11" s="11" t="n">
        <v>0.373015498763678</v>
      </c>
      <c r="G11" s="11" t="n">
        <f aca="false">E11-F11</f>
        <v>0.162174235106529</v>
      </c>
      <c r="H11" s="11" t="n">
        <v>0.468912107284295</v>
      </c>
      <c r="I11" s="11" t="n">
        <v>0.308647002207636</v>
      </c>
      <c r="J11" s="11" t="n">
        <f aca="false">H11-I11</f>
        <v>0.16026510507666</v>
      </c>
    </row>
    <row r="12" customFormat="false" ht="15" hidden="false" customHeight="false" outlineLevel="0" collapsed="false">
      <c r="A12" s="9" t="s">
        <v>67</v>
      </c>
      <c r="B12" s="11" t="n">
        <v>0.844676945854269</v>
      </c>
      <c r="C12" s="11" t="n">
        <v>0.844695959478165</v>
      </c>
      <c r="D12" s="11" t="n">
        <f aca="false">B12-C12</f>
        <v>-1.90136238952254E-005</v>
      </c>
      <c r="E12" s="11" t="n">
        <v>0.574054555896384</v>
      </c>
      <c r="F12" s="11" t="n">
        <v>0.43463860993209</v>
      </c>
      <c r="G12" s="11" t="n">
        <f aca="false">E12-F12</f>
        <v>0.139415945964294</v>
      </c>
      <c r="H12" s="11" t="n">
        <v>0.502409194308669</v>
      </c>
      <c r="I12" s="11" t="n">
        <v>0.366426769301259</v>
      </c>
      <c r="J12" s="11" t="n">
        <f aca="false">H12-I12</f>
        <v>0.135982425007409</v>
      </c>
    </row>
    <row r="13" customFormat="false" ht="15" hidden="false" customHeight="false" outlineLevel="0" collapsed="false">
      <c r="A13" s="17" t="s">
        <v>110</v>
      </c>
      <c r="D13" s="23" t="n">
        <f aca="false">AVERAGE(D5:D12)</f>
        <v>0.0104235794870342</v>
      </c>
      <c r="G13" s="23" t="n">
        <f aca="false">AVERAGE(G5:G12)</f>
        <v>0.105069965515756</v>
      </c>
      <c r="J13" s="23" t="n">
        <f aca="false">AVERAGE(J5:J12)</f>
        <v>0.10554118475927</v>
      </c>
    </row>
  </sheetData>
  <conditionalFormatting sqref="B5:B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5:C1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5:E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5:F1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5:H1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1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16.15" hidden="false" customHeight="false" outlineLevel="0" collapsed="false">
      <c r="A1" s="6" t="s">
        <v>111</v>
      </c>
    </row>
    <row r="2" customFormat="false" ht="15" hidden="false" customHeight="false" outlineLevel="0" collapsed="false">
      <c r="A2" s="7" t="s">
        <v>112</v>
      </c>
    </row>
    <row r="4" customFormat="false" ht="15" hidden="false" customHeight="false" outlineLevel="0" collapsed="false">
      <c r="A4" s="16" t="s">
        <v>113</v>
      </c>
    </row>
    <row r="5" customFormat="false" ht="30" hidden="false" customHeight="true" outlineLevel="0" collapsed="false">
      <c r="A5" s="8" t="s">
        <v>54</v>
      </c>
      <c r="B5" s="8" t="s">
        <v>114</v>
      </c>
      <c r="C5" s="8" t="s">
        <v>115</v>
      </c>
      <c r="D5" s="8" t="s">
        <v>116</v>
      </c>
      <c r="E5" s="8" t="s">
        <v>117</v>
      </c>
    </row>
    <row r="6" customFormat="false" ht="15" hidden="false" customHeight="false" outlineLevel="0" collapsed="false">
      <c r="A6" s="10" t="s">
        <v>55</v>
      </c>
      <c r="B6" s="11" t="n">
        <v>0.1886</v>
      </c>
      <c r="C6" s="11" t="n">
        <v>0.4274</v>
      </c>
      <c r="D6" s="11" t="n">
        <v>0.5601</v>
      </c>
      <c r="E6" s="11" t="n">
        <v>0.4686</v>
      </c>
    </row>
    <row r="7" customFormat="false" ht="15" hidden="false" customHeight="false" outlineLevel="0" collapsed="false">
      <c r="A7" s="10" t="s">
        <v>57</v>
      </c>
      <c r="B7" s="11" t="n">
        <v>0.2126</v>
      </c>
      <c r="C7" s="11" t="n">
        <v>0.4634</v>
      </c>
      <c r="D7" s="11" t="n">
        <v>0.6081</v>
      </c>
      <c r="E7" s="11" t="n">
        <v>0.5853</v>
      </c>
    </row>
    <row r="8" customFormat="false" ht="15" hidden="false" customHeight="false" outlineLevel="0" collapsed="false">
      <c r="A8" s="10" t="s">
        <v>109</v>
      </c>
      <c r="B8" s="11" t="n">
        <v>0.2589</v>
      </c>
      <c r="C8" s="11" t="n">
        <v>0.4851</v>
      </c>
      <c r="D8" s="11" t="n">
        <v>0.5978</v>
      </c>
      <c r="E8" s="11" t="n">
        <v>0.6139</v>
      </c>
    </row>
    <row r="9" customFormat="false" ht="15" hidden="false" customHeight="false" outlineLevel="0" collapsed="false">
      <c r="A9" s="10" t="s">
        <v>60</v>
      </c>
      <c r="B9" s="11" t="n">
        <v>0.3451</v>
      </c>
      <c r="C9" s="11" t="n">
        <v>0.6221</v>
      </c>
      <c r="D9" s="11" t="n">
        <v>0.681</v>
      </c>
      <c r="E9" s="11" t="n">
        <v>0.7079</v>
      </c>
    </row>
    <row r="10" customFormat="false" ht="15" hidden="false" customHeight="false" outlineLevel="0" collapsed="false">
      <c r="A10" s="10" t="s">
        <v>61</v>
      </c>
      <c r="B10" s="11" t="n">
        <v>0.3138</v>
      </c>
      <c r="C10" s="11" t="n">
        <v>0.5873</v>
      </c>
      <c r="D10" s="11" t="n">
        <v>0.6919</v>
      </c>
      <c r="E10" s="11" t="n">
        <v>0.7058</v>
      </c>
    </row>
    <row r="11" customFormat="false" ht="15" hidden="false" customHeight="false" outlineLevel="0" collapsed="false">
      <c r="A11" s="10" t="s">
        <v>62</v>
      </c>
      <c r="B11" s="11" t="n">
        <v>0.3438</v>
      </c>
      <c r="C11" s="11" t="n">
        <v>0.6121</v>
      </c>
      <c r="D11" s="11" t="n">
        <v>0.7186</v>
      </c>
      <c r="E11" s="11" t="n">
        <v>0.754</v>
      </c>
    </row>
    <row r="12" customFormat="false" ht="15" hidden="false" customHeight="false" outlineLevel="0" collapsed="false">
      <c r="A12" s="10" t="s">
        <v>63</v>
      </c>
      <c r="B12" s="11" t="n">
        <v>0.359</v>
      </c>
      <c r="C12" s="11" t="n">
        <v>0.6264</v>
      </c>
      <c r="D12" s="11" t="n">
        <v>0.7427</v>
      </c>
      <c r="E12" s="11" t="n">
        <v>0.7806</v>
      </c>
    </row>
    <row r="13" customFormat="false" ht="15" hidden="false" customHeight="false" outlineLevel="0" collapsed="false">
      <c r="A13" s="10" t="s">
        <v>67</v>
      </c>
      <c r="B13" s="11" t="n">
        <v>0.4557</v>
      </c>
      <c r="C13" s="11" t="n">
        <v>0.6537</v>
      </c>
      <c r="D13" s="11" t="n">
        <v>0.6797</v>
      </c>
      <c r="E13" s="11" t="n">
        <v>0.6776</v>
      </c>
    </row>
    <row r="14" customFormat="false" ht="15" hidden="false" customHeight="false" outlineLevel="0" collapsed="false">
      <c r="A14" s="17" t="s">
        <v>118</v>
      </c>
      <c r="B14" s="23" t="n">
        <f aca="false">AVERAGE(B6:B13)</f>
        <v>0.3096875</v>
      </c>
      <c r="C14" s="23" t="n">
        <f aca="false">AVERAGE(C6:C13)</f>
        <v>0.5596875</v>
      </c>
      <c r="D14" s="23" t="n">
        <f aca="false">AVERAGE(D6:D13)</f>
        <v>0.6599875</v>
      </c>
      <c r="E14" s="23" t="n">
        <f aca="false">AVERAGE(E6:E13)</f>
        <v>0.6617125</v>
      </c>
    </row>
    <row r="16" customFormat="false" ht="15" hidden="false" customHeight="false" outlineLevel="0" collapsed="false">
      <c r="A16" s="16" t="s">
        <v>119</v>
      </c>
    </row>
    <row r="17" customFormat="false" ht="30" hidden="false" customHeight="true" outlineLevel="0" collapsed="false">
      <c r="A17" s="8" t="s">
        <v>54</v>
      </c>
      <c r="B17" s="8" t="s">
        <v>114</v>
      </c>
      <c r="C17" s="8" t="s">
        <v>115</v>
      </c>
      <c r="D17" s="8" t="s">
        <v>116</v>
      </c>
      <c r="E17" s="8" t="s">
        <v>117</v>
      </c>
    </row>
    <row r="18" customFormat="false" ht="15" hidden="false" customHeight="false" outlineLevel="0" collapsed="false">
      <c r="A18" s="10" t="s">
        <v>55</v>
      </c>
      <c r="B18" s="11" t="n">
        <v>0.1019</v>
      </c>
      <c r="C18" s="11" t="n">
        <v>0.3668</v>
      </c>
      <c r="D18" s="11" t="n">
        <v>0.5639</v>
      </c>
      <c r="E18" s="11" t="n">
        <v>0.572</v>
      </c>
    </row>
    <row r="19" customFormat="false" ht="15" hidden="false" customHeight="false" outlineLevel="0" collapsed="false">
      <c r="A19" s="10" t="s">
        <v>57</v>
      </c>
      <c r="B19" s="11" t="n">
        <v>0.0962</v>
      </c>
      <c r="C19" s="11" t="n">
        <v>0.396</v>
      </c>
      <c r="D19" s="11" t="n">
        <v>0.612</v>
      </c>
      <c r="E19" s="11" t="n">
        <v>0.6923</v>
      </c>
    </row>
    <row r="20" customFormat="false" ht="15" hidden="false" customHeight="false" outlineLevel="0" collapsed="false">
      <c r="A20" s="10" t="s">
        <v>109</v>
      </c>
      <c r="B20" s="11" t="n">
        <v>0.1382</v>
      </c>
      <c r="C20" s="11" t="n">
        <v>0.4895</v>
      </c>
      <c r="D20" s="11" t="n">
        <v>0.6949</v>
      </c>
      <c r="E20" s="11" t="n">
        <v>0.6926</v>
      </c>
    </row>
    <row r="21" customFormat="false" ht="15" hidden="false" customHeight="false" outlineLevel="0" collapsed="false">
      <c r="A21" s="10" t="s">
        <v>60</v>
      </c>
      <c r="B21" s="11" t="n">
        <v>0.1581</v>
      </c>
      <c r="C21" s="11" t="n">
        <v>0.5625</v>
      </c>
      <c r="D21" s="11" t="n">
        <v>0.7252</v>
      </c>
      <c r="E21" s="11" t="n">
        <v>0.7707</v>
      </c>
    </row>
    <row r="22" customFormat="false" ht="15" hidden="false" customHeight="false" outlineLevel="0" collapsed="false">
      <c r="A22" s="10" t="s">
        <v>61</v>
      </c>
      <c r="B22" s="11" t="n">
        <v>0.1117</v>
      </c>
      <c r="C22" s="11" t="n">
        <v>0.4569</v>
      </c>
      <c r="D22" s="11" t="n">
        <v>0.6768</v>
      </c>
      <c r="E22" s="11" t="n">
        <v>0.7414</v>
      </c>
    </row>
    <row r="23" customFormat="false" ht="15" hidden="false" customHeight="false" outlineLevel="0" collapsed="false">
      <c r="A23" s="10" t="s">
        <v>62</v>
      </c>
      <c r="B23" s="11" t="n">
        <v>0.1253</v>
      </c>
      <c r="C23" s="11" t="n">
        <v>0.4919</v>
      </c>
      <c r="D23" s="11" t="n">
        <v>0.6877</v>
      </c>
      <c r="E23" s="11" t="n">
        <v>0.7065</v>
      </c>
    </row>
    <row r="24" customFormat="false" ht="15" hidden="false" customHeight="false" outlineLevel="0" collapsed="false">
      <c r="A24" s="10" t="s">
        <v>63</v>
      </c>
      <c r="B24" s="11" t="n">
        <v>0.1229</v>
      </c>
      <c r="C24" s="11" t="n">
        <v>0.4834</v>
      </c>
      <c r="D24" s="11" t="n">
        <v>0.7029</v>
      </c>
      <c r="E24" s="11" t="n">
        <v>0.7807</v>
      </c>
    </row>
    <row r="25" customFormat="false" ht="15" hidden="false" customHeight="false" outlineLevel="0" collapsed="false">
      <c r="A25" s="10" t="s">
        <v>67</v>
      </c>
      <c r="B25" s="11" t="n">
        <v>0.1613</v>
      </c>
      <c r="C25" s="11" t="n">
        <v>0.5837</v>
      </c>
      <c r="D25" s="11" t="n">
        <v>0.7429</v>
      </c>
      <c r="E25" s="11" t="n">
        <v>0.7824</v>
      </c>
    </row>
    <row r="26" customFormat="false" ht="15" hidden="false" customHeight="false" outlineLevel="0" collapsed="false">
      <c r="A26" s="17" t="s">
        <v>118</v>
      </c>
      <c r="B26" s="23" t="n">
        <f aca="false">AVERAGE(B18:B25)</f>
        <v>0.12695</v>
      </c>
      <c r="C26" s="23" t="n">
        <f aca="false">AVERAGE(C18:C25)</f>
        <v>0.4788375</v>
      </c>
      <c r="D26" s="23" t="n">
        <f aca="false">AVERAGE(D18:D25)</f>
        <v>0.6757875</v>
      </c>
      <c r="E26" s="23" t="n">
        <f aca="false">AVERAGE(E18:E25)</f>
        <v>0.717325</v>
      </c>
    </row>
    <row r="28" customFormat="false" ht="15" hidden="false" customHeight="false" outlineLevel="0" collapsed="false">
      <c r="A28" s="16" t="s">
        <v>120</v>
      </c>
    </row>
    <row r="29" customFormat="false" ht="30" hidden="false" customHeight="true" outlineLevel="0" collapsed="false">
      <c r="A29" s="8" t="s">
        <v>54</v>
      </c>
      <c r="B29" s="8" t="s">
        <v>114</v>
      </c>
      <c r="C29" s="8" t="s">
        <v>115</v>
      </c>
      <c r="D29" s="8" t="s">
        <v>116</v>
      </c>
      <c r="E29" s="8" t="s">
        <v>117</v>
      </c>
    </row>
    <row r="30" customFormat="false" ht="15" hidden="false" customHeight="false" outlineLevel="0" collapsed="false">
      <c r="A30" s="10" t="s">
        <v>55</v>
      </c>
      <c r="B30" s="11" t="n">
        <f aca="false">B6-B18</f>
        <v>0.0867</v>
      </c>
      <c r="C30" s="11" t="n">
        <f aca="false">C6-C18</f>
        <v>0.0606</v>
      </c>
      <c r="D30" s="11" t="n">
        <f aca="false">D6-D18</f>
        <v>-0.00379999999999991</v>
      </c>
      <c r="E30" s="11" t="n">
        <f aca="false">E6-E18</f>
        <v>-0.1034</v>
      </c>
    </row>
    <row r="31" customFormat="false" ht="15" hidden="false" customHeight="false" outlineLevel="0" collapsed="false">
      <c r="A31" s="10" t="s">
        <v>57</v>
      </c>
      <c r="B31" s="11" t="n">
        <f aca="false">B7-B19</f>
        <v>0.1164</v>
      </c>
      <c r="C31" s="11" t="n">
        <f aca="false">C7-C19</f>
        <v>0.0674</v>
      </c>
      <c r="D31" s="11" t="n">
        <f aca="false">D7-D19</f>
        <v>-0.00390000000000001</v>
      </c>
      <c r="E31" s="11" t="n">
        <f aca="false">E7-E19</f>
        <v>-0.107</v>
      </c>
    </row>
    <row r="32" customFormat="false" ht="15" hidden="false" customHeight="false" outlineLevel="0" collapsed="false">
      <c r="A32" s="10" t="s">
        <v>58</v>
      </c>
      <c r="B32" s="11" t="n">
        <f aca="false">B8-B20</f>
        <v>0.1207</v>
      </c>
      <c r="C32" s="11" t="n">
        <f aca="false">C8-C20</f>
        <v>-0.00440000000000002</v>
      </c>
      <c r="D32" s="11" t="n">
        <f aca="false">D8-D20</f>
        <v>-0.0971</v>
      </c>
      <c r="E32" s="11" t="n">
        <f aca="false">E8-E20</f>
        <v>-0.0787</v>
      </c>
    </row>
    <row r="33" customFormat="false" ht="15" hidden="false" customHeight="false" outlineLevel="0" collapsed="false">
      <c r="A33" s="10" t="s">
        <v>60</v>
      </c>
      <c r="B33" s="11" t="n">
        <f aca="false">B9-B21</f>
        <v>0.187</v>
      </c>
      <c r="C33" s="11" t="n">
        <f aca="false">C9-C21</f>
        <v>0.0596</v>
      </c>
      <c r="D33" s="11" t="n">
        <f aca="false">D9-D21</f>
        <v>-0.0441999999999999</v>
      </c>
      <c r="E33" s="11" t="n">
        <f aca="false">E9-E21</f>
        <v>-0.0628000000000001</v>
      </c>
    </row>
    <row r="34" customFormat="false" ht="15" hidden="false" customHeight="false" outlineLevel="0" collapsed="false">
      <c r="A34" s="10" t="s">
        <v>61</v>
      </c>
      <c r="B34" s="11" t="n">
        <f aca="false">B10-B22</f>
        <v>0.2021</v>
      </c>
      <c r="C34" s="11" t="n">
        <f aca="false">C10-C22</f>
        <v>0.1304</v>
      </c>
      <c r="D34" s="11" t="n">
        <f aca="false">D10-D22</f>
        <v>0.0151</v>
      </c>
      <c r="E34" s="11" t="n">
        <f aca="false">E10-E22</f>
        <v>-0.0356</v>
      </c>
    </row>
    <row r="35" customFormat="false" ht="15" hidden="false" customHeight="false" outlineLevel="0" collapsed="false">
      <c r="A35" s="10" t="s">
        <v>62</v>
      </c>
      <c r="B35" s="11" t="n">
        <f aca="false">B11-B23</f>
        <v>0.2185</v>
      </c>
      <c r="C35" s="11" t="n">
        <f aca="false">C11-C23</f>
        <v>0.1202</v>
      </c>
      <c r="D35" s="11" t="n">
        <f aca="false">D11-D23</f>
        <v>0.0309</v>
      </c>
      <c r="E35" s="11" t="n">
        <f aca="false">E11-E23</f>
        <v>0.0475</v>
      </c>
    </row>
    <row r="36" customFormat="false" ht="15" hidden="false" customHeight="false" outlineLevel="0" collapsed="false">
      <c r="A36" s="10" t="s">
        <v>63</v>
      </c>
      <c r="B36" s="11" t="n">
        <f aca="false">B12-B24</f>
        <v>0.2361</v>
      </c>
      <c r="C36" s="11" t="n">
        <f aca="false">C12-C24</f>
        <v>0.143</v>
      </c>
      <c r="D36" s="11" t="n">
        <f aca="false">D12-D24</f>
        <v>0.0398000000000001</v>
      </c>
      <c r="E36" s="11" t="n">
        <f aca="false">E12-E24</f>
        <v>-9.9999999999989E-005</v>
      </c>
    </row>
    <row r="37" customFormat="false" ht="15" hidden="false" customHeight="false" outlineLevel="0" collapsed="false">
      <c r="A37" s="10" t="s">
        <v>67</v>
      </c>
      <c r="B37" s="11" t="n">
        <f aca="false">B13-B25</f>
        <v>0.2944</v>
      </c>
      <c r="C37" s="11" t="n">
        <f aca="false">C13-C25</f>
        <v>0.07</v>
      </c>
      <c r="D37" s="11" t="n">
        <f aca="false">D13-D25</f>
        <v>-0.0632</v>
      </c>
      <c r="E37" s="11" t="n">
        <f aca="false">E13-E25</f>
        <v>-0.1048</v>
      </c>
    </row>
    <row r="38" customFormat="false" ht="15" hidden="false" customHeight="false" outlineLevel="0" collapsed="false">
      <c r="A38" s="17" t="s">
        <v>118</v>
      </c>
      <c r="B38" s="23" t="n">
        <f aca="false">AVERAGE(B30:B37)</f>
        <v>0.1827375</v>
      </c>
      <c r="C38" s="23" t="n">
        <f aca="false">AVERAGE(C30:C37)</f>
        <v>0.08085</v>
      </c>
      <c r="D38" s="23" t="n">
        <f aca="false">AVERAGE(D30:D37)</f>
        <v>-0.0158</v>
      </c>
      <c r="E38" s="23" t="n">
        <f aca="false">AVERAGE(E30:E37)</f>
        <v>-0.0556125</v>
      </c>
    </row>
  </sheetData>
  <conditionalFormatting sqref="B6:E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8:E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30:E3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9"/>
  </cols>
  <sheetData>
    <row r="1" customFormat="false" ht="16.15" hidden="false" customHeight="false" outlineLevel="0" collapsed="false">
      <c r="A1" s="6" t="s">
        <v>121</v>
      </c>
    </row>
    <row r="2" customFormat="false" ht="15" hidden="false" customHeight="false" outlineLevel="0" collapsed="false">
      <c r="A2" s="7" t="s">
        <v>122</v>
      </c>
    </row>
    <row r="4" customFormat="false" ht="15" hidden="false" customHeight="false" outlineLevel="0" collapsed="false">
      <c r="A4" s="16" t="s">
        <v>123</v>
      </c>
    </row>
    <row r="5" customFormat="false" ht="30" hidden="false" customHeight="true" outlineLevel="0" collapsed="false">
      <c r="A5" s="8" t="s">
        <v>83</v>
      </c>
      <c r="B5" s="8" t="s">
        <v>124</v>
      </c>
      <c r="C5" s="8" t="s">
        <v>125</v>
      </c>
      <c r="D5" s="8" t="s">
        <v>126</v>
      </c>
      <c r="E5" s="8" t="s">
        <v>127</v>
      </c>
      <c r="F5" s="8" t="s">
        <v>128</v>
      </c>
      <c r="G5" s="8" t="s">
        <v>129</v>
      </c>
      <c r="H5" s="8" t="s">
        <v>130</v>
      </c>
    </row>
    <row r="6" customFormat="false" ht="15" hidden="false" customHeight="false" outlineLevel="0" collapsed="false">
      <c r="A6" s="21" t="s">
        <v>84</v>
      </c>
      <c r="B6" s="11" t="n">
        <v>0.2444</v>
      </c>
      <c r="C6" s="11" t="n">
        <v>0.2889</v>
      </c>
      <c r="D6" s="11" t="n">
        <v>0.3037</v>
      </c>
      <c r="E6" s="11" t="n">
        <v>0.3145</v>
      </c>
      <c r="F6" s="11" t="n">
        <v>0.3217</v>
      </c>
      <c r="G6" s="11" t="n">
        <v>0.3373</v>
      </c>
      <c r="H6" s="11" t="n">
        <v>0.2823</v>
      </c>
    </row>
    <row r="7" customFormat="false" ht="15" hidden="false" customHeight="false" outlineLevel="0" collapsed="false">
      <c r="A7" s="21" t="s">
        <v>85</v>
      </c>
      <c r="B7" s="11" t="n">
        <v>0.2854</v>
      </c>
      <c r="C7" s="11" t="n">
        <v>0.2724</v>
      </c>
      <c r="D7" s="11" t="n">
        <v>0.4001</v>
      </c>
      <c r="E7" s="11" t="n">
        <v>0.3424</v>
      </c>
      <c r="F7" s="11" t="n">
        <v>0.3758</v>
      </c>
      <c r="G7" s="11" t="n">
        <v>0.3838</v>
      </c>
      <c r="H7" s="11" t="n">
        <v>0.4611</v>
      </c>
    </row>
    <row r="8" customFormat="false" ht="15" hidden="false" customHeight="false" outlineLevel="0" collapsed="false">
      <c r="A8" s="21" t="s">
        <v>86</v>
      </c>
      <c r="B8" s="11" t="n">
        <v>0.3095</v>
      </c>
      <c r="C8" s="11" t="n">
        <v>0.4079</v>
      </c>
      <c r="D8" s="11" t="n">
        <v>0.5438</v>
      </c>
      <c r="E8" s="11" t="n">
        <v>0.5628</v>
      </c>
      <c r="F8" s="11" t="n">
        <v>0.6086</v>
      </c>
      <c r="G8" s="11" t="n">
        <v>0.6526</v>
      </c>
      <c r="H8" s="11" t="n">
        <v>0.6444</v>
      </c>
    </row>
    <row r="9" customFormat="false" ht="15" hidden="false" customHeight="false" outlineLevel="0" collapsed="false">
      <c r="A9" s="21" t="s">
        <v>87</v>
      </c>
      <c r="B9" s="11" t="n">
        <v>0.2852</v>
      </c>
      <c r="C9" s="11" t="n">
        <v>0.286</v>
      </c>
      <c r="D9" s="11" t="n">
        <v>0.3992</v>
      </c>
      <c r="E9" s="11" t="n">
        <v>0.3475</v>
      </c>
      <c r="F9" s="11" t="n">
        <v>0.389</v>
      </c>
      <c r="G9" s="11" t="n">
        <v>0.4</v>
      </c>
      <c r="H9" s="11" t="n">
        <v>0.4621</v>
      </c>
    </row>
    <row r="10" customFormat="false" ht="15" hidden="false" customHeight="false" outlineLevel="0" collapsed="false">
      <c r="A10" s="21" t="s">
        <v>88</v>
      </c>
      <c r="B10" s="11" t="n">
        <v>0.3712</v>
      </c>
      <c r="C10" s="11" t="n">
        <v>0.3756</v>
      </c>
      <c r="D10" s="11" t="n">
        <v>0.4204</v>
      </c>
      <c r="E10" s="11" t="n">
        <v>0.4063</v>
      </c>
      <c r="F10" s="11" t="n">
        <v>0.4051</v>
      </c>
      <c r="G10" s="11" t="n">
        <v>0.4361</v>
      </c>
      <c r="H10" s="11" t="n">
        <v>0.4242</v>
      </c>
    </row>
    <row r="11" customFormat="false" ht="15" hidden="false" customHeight="false" outlineLevel="0" collapsed="false">
      <c r="A11" s="21" t="s">
        <v>89</v>
      </c>
      <c r="B11" s="11" t="n">
        <v>0.2755</v>
      </c>
      <c r="C11" s="11" t="n">
        <v>0.238</v>
      </c>
      <c r="D11" s="11" t="n">
        <v>0.3934</v>
      </c>
      <c r="E11" s="11" t="n">
        <v>0.3329</v>
      </c>
      <c r="F11" s="11" t="n">
        <v>0.3844</v>
      </c>
      <c r="G11" s="11" t="n">
        <v>0.3659</v>
      </c>
      <c r="H11" s="11" t="n">
        <v>0.4859</v>
      </c>
    </row>
    <row r="12" customFormat="false" ht="15" hidden="false" customHeight="false" outlineLevel="0" collapsed="false">
      <c r="A12" s="21" t="s">
        <v>90</v>
      </c>
      <c r="B12" s="11" t="n">
        <v>0.5717</v>
      </c>
      <c r="C12" s="11" t="n">
        <v>0.6502</v>
      </c>
      <c r="D12" s="11" t="n">
        <v>0.7983</v>
      </c>
      <c r="E12" s="11" t="n">
        <v>0.7921</v>
      </c>
      <c r="F12" s="11" t="n">
        <v>0.8107</v>
      </c>
      <c r="G12" s="11" t="n">
        <v>0.8511</v>
      </c>
      <c r="H12" s="11" t="n">
        <v>0.8619</v>
      </c>
    </row>
    <row r="13" customFormat="false" ht="15" hidden="false" customHeight="false" outlineLevel="0" collapsed="false">
      <c r="A13" s="21" t="s">
        <v>91</v>
      </c>
      <c r="B13" s="11" t="n">
        <v>0.3658</v>
      </c>
      <c r="C13" s="11" t="n">
        <v>0.376</v>
      </c>
      <c r="D13" s="11" t="n">
        <v>0.5624</v>
      </c>
      <c r="E13" s="11" t="n">
        <v>0.5119</v>
      </c>
      <c r="F13" s="11" t="n">
        <v>0.564</v>
      </c>
      <c r="G13" s="11" t="n">
        <v>0.5672</v>
      </c>
      <c r="H13" s="11" t="n">
        <v>0.669</v>
      </c>
    </row>
    <row r="14" customFormat="false" ht="15" hidden="false" customHeight="false" outlineLevel="0" collapsed="false">
      <c r="A14" s="21" t="s">
        <v>92</v>
      </c>
      <c r="B14" s="11" t="n">
        <v>0.3909</v>
      </c>
      <c r="C14" s="11" t="n">
        <v>0.4444</v>
      </c>
      <c r="D14" s="11" t="n">
        <v>0.5064</v>
      </c>
      <c r="E14" s="11" t="n">
        <v>0.5208</v>
      </c>
      <c r="F14" s="11" t="n">
        <v>0.5077</v>
      </c>
      <c r="G14" s="11" t="n">
        <v>0.5167</v>
      </c>
      <c r="H14" s="11" t="n">
        <v>0.4759</v>
      </c>
    </row>
    <row r="15" customFormat="false" ht="15" hidden="false" customHeight="false" outlineLevel="0" collapsed="false">
      <c r="A15" s="21" t="s">
        <v>93</v>
      </c>
      <c r="B15" s="11" t="n">
        <v>0.3459</v>
      </c>
      <c r="C15" s="11" t="n">
        <v>0.3828</v>
      </c>
      <c r="D15" s="11" t="n">
        <v>0.5934</v>
      </c>
      <c r="E15" s="11" t="n">
        <v>0.5289</v>
      </c>
      <c r="F15" s="11" t="n">
        <v>0.5709</v>
      </c>
      <c r="G15" s="11" t="n">
        <v>0.5734</v>
      </c>
      <c r="H15" s="11" t="n">
        <v>0.6614</v>
      </c>
    </row>
    <row r="16" customFormat="false" ht="15" hidden="false" customHeight="false" outlineLevel="0" collapsed="false">
      <c r="A16" s="21" t="s">
        <v>94</v>
      </c>
      <c r="B16" s="11" t="n">
        <v>0.4285</v>
      </c>
      <c r="C16" s="11" t="n">
        <v>0.527</v>
      </c>
      <c r="D16" s="11" t="n">
        <v>0.6959</v>
      </c>
      <c r="E16" s="11" t="n">
        <v>0.7102</v>
      </c>
      <c r="F16" s="11" t="n">
        <v>0.7288</v>
      </c>
      <c r="G16" s="11" t="n">
        <v>0.7759</v>
      </c>
      <c r="H16" s="11" t="n">
        <v>0.7817</v>
      </c>
    </row>
    <row r="17" customFormat="false" ht="15" hidden="false" customHeight="false" outlineLevel="0" collapsed="false">
      <c r="A17" s="21" t="s">
        <v>95</v>
      </c>
      <c r="B17" s="11" t="n">
        <v>0.3296</v>
      </c>
      <c r="C17" s="11" t="n">
        <v>0.3511</v>
      </c>
      <c r="D17" s="11" t="n">
        <v>0.547</v>
      </c>
      <c r="E17" s="11" t="n">
        <v>0.4994</v>
      </c>
      <c r="F17" s="11" t="n">
        <v>0.5326</v>
      </c>
      <c r="G17" s="11" t="n">
        <v>0.5382</v>
      </c>
      <c r="H17" s="11" t="n">
        <v>0.6552</v>
      </c>
    </row>
    <row r="19" customFormat="false" ht="15" hidden="false" customHeight="false" outlineLevel="0" collapsed="false">
      <c r="A19" s="16" t="s">
        <v>131</v>
      </c>
    </row>
    <row r="20" customFormat="false" ht="30" hidden="false" customHeight="true" outlineLevel="0" collapsed="false">
      <c r="A20" s="8" t="s">
        <v>83</v>
      </c>
      <c r="B20" s="8" t="s">
        <v>124</v>
      </c>
      <c r="C20" s="8" t="s">
        <v>125</v>
      </c>
      <c r="D20" s="8" t="s">
        <v>126</v>
      </c>
      <c r="E20" s="8" t="s">
        <v>127</v>
      </c>
      <c r="F20" s="8" t="s">
        <v>128</v>
      </c>
      <c r="G20" s="8" t="s">
        <v>129</v>
      </c>
      <c r="H20" s="8" t="s">
        <v>130</v>
      </c>
    </row>
    <row r="21" customFormat="false" ht="15" hidden="false" customHeight="false" outlineLevel="0" collapsed="false">
      <c r="A21" s="21" t="s">
        <v>84</v>
      </c>
      <c r="B21" s="11" t="n">
        <v>0.2342</v>
      </c>
      <c r="C21" s="11" t="n">
        <v>0.2649</v>
      </c>
      <c r="D21" s="11" t="n">
        <v>0.3452</v>
      </c>
      <c r="E21" s="11" t="n">
        <v>0.2936</v>
      </c>
      <c r="F21" s="11" t="n">
        <v>0.304</v>
      </c>
      <c r="G21" s="11" t="n">
        <v>0.303</v>
      </c>
      <c r="H21" s="11" t="n">
        <v>0.3346</v>
      </c>
    </row>
    <row r="22" customFormat="false" ht="15" hidden="false" customHeight="false" outlineLevel="0" collapsed="false">
      <c r="A22" s="21" t="s">
        <v>85</v>
      </c>
      <c r="B22" s="11" t="n">
        <v>0.2295</v>
      </c>
      <c r="C22" s="11" t="n">
        <v>0.2077</v>
      </c>
      <c r="D22" s="11" t="n">
        <v>0.3151</v>
      </c>
      <c r="E22" s="11" t="n">
        <v>0.226</v>
      </c>
      <c r="F22" s="11" t="n">
        <v>0.2331</v>
      </c>
      <c r="G22" s="11" t="n">
        <v>0.2283</v>
      </c>
      <c r="H22" s="11" t="n">
        <v>0.3177</v>
      </c>
    </row>
    <row r="23" customFormat="false" ht="15" hidden="false" customHeight="false" outlineLevel="0" collapsed="false">
      <c r="A23" s="21" t="s">
        <v>86</v>
      </c>
      <c r="B23" s="11" t="n">
        <v>0.2935</v>
      </c>
      <c r="C23" s="11" t="n">
        <v>0.3482</v>
      </c>
      <c r="D23" s="11" t="n">
        <v>0.4628</v>
      </c>
      <c r="E23" s="11" t="n">
        <v>0.4073</v>
      </c>
      <c r="F23" s="11" t="n">
        <v>0.4702</v>
      </c>
      <c r="G23" s="11" t="n">
        <v>0.4898</v>
      </c>
      <c r="H23" s="11" t="n">
        <v>0.5189</v>
      </c>
    </row>
    <row r="24" customFormat="false" ht="15" hidden="false" customHeight="false" outlineLevel="0" collapsed="false">
      <c r="A24" s="21" t="s">
        <v>87</v>
      </c>
      <c r="B24" s="11" t="n">
        <v>0.2329</v>
      </c>
      <c r="C24" s="11" t="n">
        <v>0.218</v>
      </c>
      <c r="D24" s="11" t="n">
        <v>0.3054</v>
      </c>
      <c r="E24" s="11" t="n">
        <v>0.2442</v>
      </c>
      <c r="F24" s="11" t="n">
        <v>0.2442</v>
      </c>
      <c r="G24" s="11" t="n">
        <v>0.2331</v>
      </c>
      <c r="H24" s="11" t="n">
        <v>0.297</v>
      </c>
    </row>
    <row r="25" customFormat="false" ht="15" hidden="false" customHeight="false" outlineLevel="0" collapsed="false">
      <c r="A25" s="21" t="s">
        <v>88</v>
      </c>
      <c r="B25" s="11" t="n">
        <v>0.3282</v>
      </c>
      <c r="C25" s="11" t="n">
        <v>0.3397</v>
      </c>
      <c r="D25" s="11" t="n">
        <v>0.4183</v>
      </c>
      <c r="E25" s="11" t="n">
        <v>0.3651</v>
      </c>
      <c r="F25" s="11" t="n">
        <v>0.3703</v>
      </c>
      <c r="G25" s="11" t="n">
        <v>0.3455</v>
      </c>
      <c r="H25" s="11" t="n">
        <v>0.4149</v>
      </c>
    </row>
    <row r="26" customFormat="false" ht="15" hidden="false" customHeight="false" outlineLevel="0" collapsed="false">
      <c r="A26" s="21" t="s">
        <v>89</v>
      </c>
      <c r="B26" s="11" t="n">
        <v>0.2142</v>
      </c>
      <c r="C26" s="11" t="n">
        <v>0.1887</v>
      </c>
      <c r="D26" s="11" t="n">
        <v>0.3052</v>
      </c>
      <c r="E26" s="11" t="n">
        <v>0.2294</v>
      </c>
      <c r="F26" s="11" t="n">
        <v>0.2399</v>
      </c>
      <c r="G26" s="11" t="n">
        <v>0.2249</v>
      </c>
      <c r="H26" s="11" t="n">
        <v>0.3309</v>
      </c>
    </row>
    <row r="27" customFormat="false" ht="15" hidden="false" customHeight="false" outlineLevel="0" collapsed="false">
      <c r="A27" s="21" t="s">
        <v>90</v>
      </c>
      <c r="B27" s="11" t="n">
        <v>0.4864</v>
      </c>
      <c r="C27" s="11" t="n">
        <v>0.5267</v>
      </c>
      <c r="D27" s="11" t="n">
        <v>0.6697</v>
      </c>
      <c r="E27" s="11" t="n">
        <v>0.5857</v>
      </c>
      <c r="F27" s="11" t="n">
        <v>0.6376</v>
      </c>
      <c r="G27" s="11" t="n">
        <v>0.6568</v>
      </c>
      <c r="H27" s="11" t="n">
        <v>0.689</v>
      </c>
    </row>
    <row r="28" customFormat="false" ht="15" hidden="false" customHeight="false" outlineLevel="0" collapsed="false">
      <c r="A28" s="21" t="s">
        <v>91</v>
      </c>
      <c r="B28" s="11" t="n">
        <v>0.288</v>
      </c>
      <c r="C28" s="11" t="n">
        <v>0.2903</v>
      </c>
      <c r="D28" s="11" t="n">
        <v>0.3902</v>
      </c>
      <c r="E28" s="11" t="n">
        <v>0.3332</v>
      </c>
      <c r="F28" s="11" t="n">
        <v>0.3429</v>
      </c>
      <c r="G28" s="11" t="n">
        <v>0.331</v>
      </c>
      <c r="H28" s="11" t="n">
        <v>0.409</v>
      </c>
    </row>
    <row r="29" customFormat="false" ht="15" hidden="false" customHeight="false" outlineLevel="0" collapsed="false">
      <c r="A29" s="21" t="s">
        <v>92</v>
      </c>
      <c r="B29" s="11" t="n">
        <v>0.3417</v>
      </c>
      <c r="C29" s="11" t="n">
        <v>0.3829</v>
      </c>
      <c r="D29" s="11" t="n">
        <v>0.4891</v>
      </c>
      <c r="E29" s="11" t="n">
        <v>0.4199</v>
      </c>
      <c r="F29" s="11" t="n">
        <v>0.4245</v>
      </c>
      <c r="G29" s="11" t="n">
        <v>0.4266</v>
      </c>
      <c r="H29" s="11" t="n">
        <v>0.4655</v>
      </c>
    </row>
    <row r="30" customFormat="false" ht="15" hidden="false" customHeight="false" outlineLevel="0" collapsed="false">
      <c r="A30" s="21" t="s">
        <v>93</v>
      </c>
      <c r="B30" s="11" t="n">
        <v>0.252</v>
      </c>
      <c r="C30" s="11" t="n">
        <v>0.2815</v>
      </c>
      <c r="D30" s="11" t="n">
        <v>0.4207</v>
      </c>
      <c r="E30" s="11" t="n">
        <v>0.3287</v>
      </c>
      <c r="F30" s="11" t="n">
        <v>0.3513</v>
      </c>
      <c r="G30" s="11" t="n">
        <v>0.3434</v>
      </c>
      <c r="H30" s="11" t="n">
        <v>0.4402</v>
      </c>
    </row>
    <row r="31" customFormat="false" ht="15" hidden="false" customHeight="false" outlineLevel="0" collapsed="false">
      <c r="A31" s="21" t="s">
        <v>94</v>
      </c>
      <c r="B31" s="11" t="n">
        <v>0.3612</v>
      </c>
      <c r="C31" s="11" t="n">
        <v>0.4236</v>
      </c>
      <c r="D31" s="11" t="n">
        <v>0.5604</v>
      </c>
      <c r="E31" s="11" t="n">
        <v>0.4994</v>
      </c>
      <c r="F31" s="11" t="n">
        <v>0.545</v>
      </c>
      <c r="G31" s="11" t="n">
        <v>0.5779</v>
      </c>
      <c r="H31" s="11" t="n">
        <v>0.6016</v>
      </c>
    </row>
    <row r="32" customFormat="false" ht="15" hidden="false" customHeight="false" outlineLevel="0" collapsed="false">
      <c r="A32" s="21" t="s">
        <v>95</v>
      </c>
      <c r="B32" s="11" t="n">
        <v>0.2442</v>
      </c>
      <c r="C32" s="11" t="n">
        <v>0.2527</v>
      </c>
      <c r="D32" s="11" t="n">
        <v>0.3705</v>
      </c>
      <c r="E32" s="11" t="n">
        <v>0.2955</v>
      </c>
      <c r="F32" s="11" t="n">
        <v>0.3115</v>
      </c>
      <c r="G32" s="11" t="n">
        <v>0.3011</v>
      </c>
      <c r="H32" s="11" t="n">
        <v>0.386</v>
      </c>
    </row>
    <row r="34" customFormat="false" ht="15" hidden="false" customHeight="false" outlineLevel="0" collapsed="false">
      <c r="A34" s="16" t="s">
        <v>132</v>
      </c>
    </row>
    <row r="35" customFormat="false" ht="30" hidden="false" customHeight="true" outlineLevel="0" collapsed="false">
      <c r="A35" s="8" t="s">
        <v>83</v>
      </c>
      <c r="B35" s="8" t="s">
        <v>124</v>
      </c>
      <c r="C35" s="8" t="s">
        <v>125</v>
      </c>
      <c r="D35" s="8" t="s">
        <v>126</v>
      </c>
      <c r="E35" s="8" t="s">
        <v>127</v>
      </c>
      <c r="F35" s="8" t="s">
        <v>128</v>
      </c>
      <c r="G35" s="8" t="s">
        <v>129</v>
      </c>
      <c r="H35" s="8" t="s">
        <v>130</v>
      </c>
    </row>
    <row r="36" customFormat="false" ht="15" hidden="false" customHeight="false" outlineLevel="0" collapsed="false">
      <c r="A36" s="21" t="s">
        <v>84</v>
      </c>
      <c r="B36" s="11" t="n">
        <f aca="false">B6-B21</f>
        <v>0.0102</v>
      </c>
      <c r="C36" s="11" t="n">
        <f aca="false">C6-C21</f>
        <v>0.024</v>
      </c>
      <c r="D36" s="11" t="n">
        <f aca="false">D6-D21</f>
        <v>-0.0415</v>
      </c>
      <c r="E36" s="11" t="n">
        <f aca="false">E6-E21</f>
        <v>0.0209</v>
      </c>
      <c r="F36" s="11" t="n">
        <f aca="false">F6-F21</f>
        <v>0.0177</v>
      </c>
      <c r="G36" s="11" t="n">
        <f aca="false">G6-G21</f>
        <v>0.0343</v>
      </c>
      <c r="H36" s="11" t="n">
        <f aca="false">H6-H21</f>
        <v>-0.0523</v>
      </c>
    </row>
    <row r="37" customFormat="false" ht="15" hidden="false" customHeight="false" outlineLevel="0" collapsed="false">
      <c r="A37" s="21" t="s">
        <v>85</v>
      </c>
      <c r="B37" s="11" t="n">
        <f aca="false">B7-B22</f>
        <v>0.0559</v>
      </c>
      <c r="C37" s="11" t="n">
        <f aca="false">C7-C22</f>
        <v>0.0647</v>
      </c>
      <c r="D37" s="11" t="n">
        <f aca="false">D7-D22</f>
        <v>0.085</v>
      </c>
      <c r="E37" s="11" t="n">
        <f aca="false">E7-E22</f>
        <v>0.1164</v>
      </c>
      <c r="F37" s="11" t="n">
        <f aca="false">F7-F22</f>
        <v>0.1427</v>
      </c>
      <c r="G37" s="11" t="n">
        <f aca="false">G7-G22</f>
        <v>0.1555</v>
      </c>
      <c r="H37" s="11" t="n">
        <f aca="false">H7-H22</f>
        <v>0.1434</v>
      </c>
    </row>
    <row r="38" customFormat="false" ht="15" hidden="false" customHeight="false" outlineLevel="0" collapsed="false">
      <c r="A38" s="21" t="s">
        <v>86</v>
      </c>
      <c r="B38" s="11" t="n">
        <f aca="false">B8-B23</f>
        <v>0.016</v>
      </c>
      <c r="C38" s="11" t="n">
        <f aca="false">C8-C23</f>
        <v>0.0597</v>
      </c>
      <c r="D38" s="11" t="n">
        <f aca="false">D8-D23</f>
        <v>0.081</v>
      </c>
      <c r="E38" s="11" t="n">
        <f aca="false">E8-E23</f>
        <v>0.1555</v>
      </c>
      <c r="F38" s="11" t="n">
        <f aca="false">F8-F23</f>
        <v>0.1384</v>
      </c>
      <c r="G38" s="11" t="n">
        <f aca="false">G8-G23</f>
        <v>0.1628</v>
      </c>
      <c r="H38" s="11" t="n">
        <f aca="false">H8-H23</f>
        <v>0.1255</v>
      </c>
    </row>
    <row r="39" customFormat="false" ht="15" hidden="false" customHeight="false" outlineLevel="0" collapsed="false">
      <c r="A39" s="21" t="s">
        <v>87</v>
      </c>
      <c r="B39" s="11" t="n">
        <f aca="false">B9-B24</f>
        <v>0.0523</v>
      </c>
      <c r="C39" s="11" t="n">
        <f aca="false">C9-C24</f>
        <v>0.068</v>
      </c>
      <c r="D39" s="11" t="n">
        <f aca="false">D9-D24</f>
        <v>0.0938</v>
      </c>
      <c r="E39" s="11" t="n">
        <f aca="false">E9-E24</f>
        <v>0.1033</v>
      </c>
      <c r="F39" s="11" t="n">
        <f aca="false">F9-F24</f>
        <v>0.1448</v>
      </c>
      <c r="G39" s="11" t="n">
        <f aca="false">G9-G24</f>
        <v>0.1669</v>
      </c>
      <c r="H39" s="11" t="n">
        <f aca="false">H9-H24</f>
        <v>0.1651</v>
      </c>
    </row>
    <row r="40" customFormat="false" ht="15" hidden="false" customHeight="false" outlineLevel="0" collapsed="false">
      <c r="A40" s="21" t="s">
        <v>88</v>
      </c>
      <c r="B40" s="11" t="n">
        <f aca="false">B10-B25</f>
        <v>0.043</v>
      </c>
      <c r="C40" s="11" t="n">
        <f aca="false">C10-C25</f>
        <v>0.0359</v>
      </c>
      <c r="D40" s="11" t="n">
        <f aca="false">D10-D25</f>
        <v>0.00209999999999999</v>
      </c>
      <c r="E40" s="11" t="n">
        <f aca="false">E10-E25</f>
        <v>0.0412</v>
      </c>
      <c r="F40" s="11" t="n">
        <f aca="false">F10-F25</f>
        <v>0.0348</v>
      </c>
      <c r="G40" s="11" t="n">
        <f aca="false">G10-G25</f>
        <v>0.0906</v>
      </c>
      <c r="H40" s="11" t="n">
        <f aca="false">H10-H25</f>
        <v>0.00930000000000003</v>
      </c>
    </row>
    <row r="41" customFormat="false" ht="15" hidden="false" customHeight="false" outlineLevel="0" collapsed="false">
      <c r="A41" s="21" t="s">
        <v>89</v>
      </c>
      <c r="B41" s="11" t="n">
        <f aca="false">B11-B26</f>
        <v>0.0613</v>
      </c>
      <c r="C41" s="11" t="n">
        <f aca="false">C11-C26</f>
        <v>0.0493</v>
      </c>
      <c r="D41" s="11" t="n">
        <f aca="false">D11-D26</f>
        <v>0.0882</v>
      </c>
      <c r="E41" s="11" t="n">
        <f aca="false">E11-E26</f>
        <v>0.1035</v>
      </c>
      <c r="F41" s="11" t="n">
        <f aca="false">F11-F26</f>
        <v>0.1445</v>
      </c>
      <c r="G41" s="11" t="n">
        <f aca="false">G11-G26</f>
        <v>0.141</v>
      </c>
      <c r="H41" s="11" t="n">
        <f aca="false">H11-H26</f>
        <v>0.155</v>
      </c>
    </row>
    <row r="42" customFormat="false" ht="15" hidden="false" customHeight="false" outlineLevel="0" collapsed="false">
      <c r="A42" s="21" t="s">
        <v>90</v>
      </c>
      <c r="B42" s="11" t="n">
        <f aca="false">B12-B27</f>
        <v>0.0853</v>
      </c>
      <c r="C42" s="11" t="n">
        <f aca="false">C12-C27</f>
        <v>0.1235</v>
      </c>
      <c r="D42" s="11" t="n">
        <f aca="false">D12-D27</f>
        <v>0.1286</v>
      </c>
      <c r="E42" s="11" t="n">
        <f aca="false">E12-E27</f>
        <v>0.2064</v>
      </c>
      <c r="F42" s="11" t="n">
        <f aca="false">F12-F27</f>
        <v>0.1731</v>
      </c>
      <c r="G42" s="11" t="n">
        <f aca="false">G12-G27</f>
        <v>0.1943</v>
      </c>
      <c r="H42" s="11" t="n">
        <f aca="false">H12-H27</f>
        <v>0.1729</v>
      </c>
    </row>
    <row r="43" customFormat="false" ht="15" hidden="false" customHeight="false" outlineLevel="0" collapsed="false">
      <c r="A43" s="21" t="s">
        <v>91</v>
      </c>
      <c r="B43" s="11" t="n">
        <f aca="false">B13-B28</f>
        <v>0.0778</v>
      </c>
      <c r="C43" s="11" t="n">
        <f aca="false">C13-C28</f>
        <v>0.0857</v>
      </c>
      <c r="D43" s="11" t="n">
        <f aca="false">D13-D28</f>
        <v>0.1722</v>
      </c>
      <c r="E43" s="11" t="n">
        <f aca="false">E13-E28</f>
        <v>0.1787</v>
      </c>
      <c r="F43" s="11" t="n">
        <f aca="false">F13-F28</f>
        <v>0.2211</v>
      </c>
      <c r="G43" s="11" t="n">
        <f aca="false">G13-G28</f>
        <v>0.2362</v>
      </c>
      <c r="H43" s="11" t="n">
        <f aca="false">H13-H28</f>
        <v>0.26</v>
      </c>
    </row>
    <row r="44" customFormat="false" ht="15" hidden="false" customHeight="false" outlineLevel="0" collapsed="false">
      <c r="A44" s="21" t="s">
        <v>92</v>
      </c>
      <c r="B44" s="11" t="n">
        <f aca="false">B14-B29</f>
        <v>0.0492</v>
      </c>
      <c r="C44" s="11" t="n">
        <f aca="false">C14-C29</f>
        <v>0.0615</v>
      </c>
      <c r="D44" s="11" t="n">
        <f aca="false">D14-D29</f>
        <v>0.0173</v>
      </c>
      <c r="E44" s="11" t="n">
        <f aca="false">E14-E29</f>
        <v>0.1009</v>
      </c>
      <c r="F44" s="11" t="n">
        <f aca="false">F14-F29</f>
        <v>0.0832000000000001</v>
      </c>
      <c r="G44" s="11" t="n">
        <f aca="false">G14-G29</f>
        <v>0.0901000000000001</v>
      </c>
      <c r="H44" s="11" t="n">
        <f aca="false">H14-H29</f>
        <v>0.0104</v>
      </c>
    </row>
    <row r="45" customFormat="false" ht="15" hidden="false" customHeight="false" outlineLevel="0" collapsed="false">
      <c r="A45" s="21" t="s">
        <v>93</v>
      </c>
      <c r="B45" s="11" t="n">
        <f aca="false">B15-B30</f>
        <v>0.0939</v>
      </c>
      <c r="C45" s="11" t="n">
        <f aca="false">C15-C30</f>
        <v>0.1013</v>
      </c>
      <c r="D45" s="11" t="n">
        <f aca="false">D15-D30</f>
        <v>0.1727</v>
      </c>
      <c r="E45" s="11" t="n">
        <f aca="false">E15-E30</f>
        <v>0.2002</v>
      </c>
      <c r="F45" s="11" t="n">
        <f aca="false">F15-F30</f>
        <v>0.2196</v>
      </c>
      <c r="G45" s="11" t="n">
        <f aca="false">G15-G30</f>
        <v>0.23</v>
      </c>
      <c r="H45" s="11" t="n">
        <f aca="false">H15-H30</f>
        <v>0.2212</v>
      </c>
    </row>
    <row r="46" customFormat="false" ht="15" hidden="false" customHeight="false" outlineLevel="0" collapsed="false">
      <c r="A46" s="21" t="s">
        <v>94</v>
      </c>
      <c r="B46" s="11" t="n">
        <f aca="false">B16-B31</f>
        <v>0.0673</v>
      </c>
      <c r="C46" s="11" t="n">
        <f aca="false">C16-C31</f>
        <v>0.1034</v>
      </c>
      <c r="D46" s="11" t="n">
        <f aca="false">D16-D31</f>
        <v>0.1355</v>
      </c>
      <c r="E46" s="11" t="n">
        <f aca="false">E16-E31</f>
        <v>0.2108</v>
      </c>
      <c r="F46" s="11" t="n">
        <f aca="false">F16-F31</f>
        <v>0.1838</v>
      </c>
      <c r="G46" s="11" t="n">
        <f aca="false">G16-G31</f>
        <v>0.198</v>
      </c>
      <c r="H46" s="11" t="n">
        <f aca="false">H16-H31</f>
        <v>0.1801</v>
      </c>
    </row>
    <row r="47" customFormat="false" ht="15" hidden="false" customHeight="false" outlineLevel="0" collapsed="false">
      <c r="A47" s="21" t="s">
        <v>95</v>
      </c>
      <c r="B47" s="11" t="n">
        <f aca="false">B17-B32</f>
        <v>0.0854</v>
      </c>
      <c r="C47" s="11" t="n">
        <f aca="false">C17-C32</f>
        <v>0.0984</v>
      </c>
      <c r="D47" s="11" t="n">
        <f aca="false">D17-D32</f>
        <v>0.1765</v>
      </c>
      <c r="E47" s="11" t="n">
        <f aca="false">E17-E32</f>
        <v>0.2039</v>
      </c>
      <c r="F47" s="11" t="n">
        <f aca="false">F17-F32</f>
        <v>0.2211</v>
      </c>
      <c r="G47" s="11" t="n">
        <f aca="false">G17-G32</f>
        <v>0.2371</v>
      </c>
      <c r="H47" s="11" t="n">
        <f aca="false">H17-H32</f>
        <v>0.2692</v>
      </c>
    </row>
  </sheetData>
  <conditionalFormatting sqref="B6:H1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1:H3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36:H4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6" t="s">
        <v>133</v>
      </c>
    </row>
    <row r="2" customFormat="false" ht="15" hidden="false" customHeight="false" outlineLevel="0" collapsed="false">
      <c r="A2" s="7" t="s">
        <v>134</v>
      </c>
    </row>
    <row r="4" customFormat="false" ht="15" hidden="false" customHeight="false" outlineLevel="0" collapsed="false">
      <c r="A4" s="16" t="s">
        <v>135</v>
      </c>
    </row>
    <row r="5" customFormat="false" ht="15" hidden="false" customHeight="false" outlineLevel="0" collapsed="false">
      <c r="A5" s="24" t="s">
        <v>136</v>
      </c>
      <c r="B5" s="25" t="n">
        <v>16</v>
      </c>
    </row>
    <row r="6" customFormat="false" ht="15" hidden="false" customHeight="false" outlineLevel="0" collapsed="false">
      <c r="A6" s="24" t="s">
        <v>137</v>
      </c>
      <c r="B6" s="25" t="n">
        <v>1280</v>
      </c>
    </row>
    <row r="7" customFormat="false" ht="15" hidden="false" customHeight="false" outlineLevel="0" collapsed="false">
      <c r="A7" s="24" t="s">
        <v>138</v>
      </c>
      <c r="B7" s="25" t="n">
        <v>4</v>
      </c>
    </row>
    <row r="8" customFormat="false" ht="15" hidden="false" customHeight="false" outlineLevel="0" collapsed="false">
      <c r="A8" s="24" t="s">
        <v>139</v>
      </c>
      <c r="B8" s="25" t="n">
        <v>2</v>
      </c>
    </row>
    <row r="9" customFormat="false" ht="15" hidden="false" customHeight="false" outlineLevel="0" collapsed="false">
      <c r="A9" s="24" t="s">
        <v>140</v>
      </c>
      <c r="B9" s="10" t="n">
        <f aca="false">(2+B7)*B6</f>
        <v>7680</v>
      </c>
    </row>
    <row r="11" customFormat="false" ht="30" hidden="false" customHeight="true" outlineLevel="0" collapsed="false">
      <c r="A11" s="8" t="s">
        <v>54</v>
      </c>
      <c r="B11" s="8" t="s">
        <v>141</v>
      </c>
      <c r="C11" s="8" t="s">
        <v>142</v>
      </c>
      <c r="D11" s="8" t="s">
        <v>143</v>
      </c>
      <c r="E11" s="8" t="s">
        <v>144</v>
      </c>
      <c r="F11" s="8" t="s">
        <v>145</v>
      </c>
      <c r="G11" s="8" t="s">
        <v>146</v>
      </c>
      <c r="H11" s="8" t="s">
        <v>147</v>
      </c>
      <c r="I11" s="8" t="s">
        <v>148</v>
      </c>
      <c r="J11" s="8" t="s">
        <v>149</v>
      </c>
    </row>
    <row r="12" customFormat="false" ht="15" hidden="false" customHeight="false" outlineLevel="0" collapsed="false">
      <c r="A12" s="9" t="s">
        <v>55</v>
      </c>
      <c r="B12" s="26" t="n">
        <f aca="false">(224/$B$5)^2</f>
        <v>196</v>
      </c>
      <c r="C12" s="27" t="n">
        <f aca="false">B12^2+$B$9*B12</f>
        <v>1543696</v>
      </c>
      <c r="D12" s="11" t="n">
        <f aca="false">C12/$C$14</f>
        <v>0.232632325141777</v>
      </c>
      <c r="E12" s="11" t="n">
        <f aca="false">D12*$B$8</f>
        <v>0.465264650283554</v>
      </c>
      <c r="F12" s="11" t="n">
        <v>0.671602011894923</v>
      </c>
      <c r="G12" s="11" t="n">
        <v>0.657360554082352</v>
      </c>
      <c r="H12" s="11" t="n">
        <v>0.350593898444853</v>
      </c>
      <c r="I12" s="11" t="n">
        <v>0.292344381721103</v>
      </c>
      <c r="J12" s="11" t="n">
        <f aca="false">F12/E12</f>
        <v>1.44348385695242</v>
      </c>
    </row>
    <row r="13" customFormat="false" ht="15" hidden="false" customHeight="false" outlineLevel="0" collapsed="false">
      <c r="A13" s="9" t="s">
        <v>57</v>
      </c>
      <c r="B13" s="26" t="n">
        <f aca="false">(336/$B$5)^2</f>
        <v>441</v>
      </c>
      <c r="C13" s="27" t="n">
        <f aca="false">B13^2+$B$9*B13</f>
        <v>3581361</v>
      </c>
      <c r="D13" s="11" t="n">
        <f aca="false">C13/$C$14</f>
        <v>0.539704926748582</v>
      </c>
      <c r="E13" s="11" t="n">
        <f aca="false">D13*$B$8</f>
        <v>1.07940985349716</v>
      </c>
      <c r="F13" s="11" t="n">
        <v>0.717528533111592</v>
      </c>
      <c r="G13" s="11" t="n">
        <v>0.729448047174068</v>
      </c>
      <c r="H13" s="11" t="n">
        <v>0.384385850288679</v>
      </c>
      <c r="I13" s="11" t="n">
        <v>0.310936489605754</v>
      </c>
      <c r="J13" s="11" t="n">
        <f aca="false">F13/E13</f>
        <v>0.664741507395807</v>
      </c>
    </row>
    <row r="14" customFormat="false" ht="15" hidden="false" customHeight="false" outlineLevel="0" collapsed="false">
      <c r="A14" s="9" t="s">
        <v>109</v>
      </c>
      <c r="B14" s="26" t="n">
        <f aca="false">(448/$B$5)^2</f>
        <v>784</v>
      </c>
      <c r="C14" s="27" t="n">
        <f aca="false">B14^2+$B$9*B14</f>
        <v>6635776</v>
      </c>
      <c r="D14" s="11" t="n">
        <f aca="false">C14/$C$14</f>
        <v>1</v>
      </c>
      <c r="E14" s="11" t="n">
        <f aca="false">D14*$B$8</f>
        <v>2</v>
      </c>
      <c r="F14" s="11" t="n">
        <v>0.743084316507954</v>
      </c>
      <c r="G14" s="11" t="n">
        <v>0.761623662074665</v>
      </c>
      <c r="H14" s="11" t="n">
        <v>0.410671263374751</v>
      </c>
      <c r="I14" s="11" t="n">
        <v>0.379616790988103</v>
      </c>
      <c r="J14" s="11" t="n">
        <f aca="false">F14/E14</f>
        <v>0.371542158253977</v>
      </c>
    </row>
    <row r="15" customFormat="false" ht="15" hidden="false" customHeight="false" outlineLevel="0" collapsed="false">
      <c r="A15" s="9" t="s">
        <v>60</v>
      </c>
      <c r="B15" s="26" t="n">
        <f aca="false">(496/$B$5)^2</f>
        <v>961</v>
      </c>
      <c r="C15" s="27" t="n">
        <f aca="false">B15^2+$B$9*B15</f>
        <v>8304001</v>
      </c>
      <c r="D15" s="11" t="n">
        <f aca="false">C15/$C$14</f>
        <v>1.25139863069519</v>
      </c>
      <c r="E15" s="11" t="n">
        <f aca="false">D15*$B$8</f>
        <v>2.50279726139038</v>
      </c>
      <c r="F15" s="11" t="n">
        <v>0.792942903355017</v>
      </c>
      <c r="G15" s="11" t="n">
        <v>0.792896763627698</v>
      </c>
      <c r="H15" s="11" t="n">
        <v>0.51535704704918</v>
      </c>
      <c r="I15" s="11" t="n">
        <v>0.421838253300939</v>
      </c>
      <c r="J15" s="11" t="n">
        <f aca="false">F15/E15</f>
        <v>0.31682266701639</v>
      </c>
    </row>
    <row r="16" customFormat="false" ht="15" hidden="false" customHeight="false" outlineLevel="0" collapsed="false">
      <c r="A16" s="9" t="s">
        <v>61</v>
      </c>
      <c r="B16" s="26" t="n">
        <f aca="false">(512/$B$5)^2</f>
        <v>1024</v>
      </c>
      <c r="C16" s="27" t="n">
        <f aca="false">B16^2+$B$9*B16</f>
        <v>8912896</v>
      </c>
      <c r="D16" s="11" t="n">
        <f aca="false">C16/$C$14</f>
        <v>1.34315805717372</v>
      </c>
      <c r="E16" s="11" t="n">
        <f aca="false">D16*$B$8</f>
        <v>2.68631611434744</v>
      </c>
      <c r="F16" s="11" t="n">
        <v>0.797077986279769</v>
      </c>
      <c r="G16" s="11" t="n">
        <v>0.755378066897534</v>
      </c>
      <c r="H16" s="11" t="n">
        <v>0.490965500189913</v>
      </c>
      <c r="I16" s="11" t="n">
        <v>0.353030176568782</v>
      </c>
      <c r="J16" s="11" t="n">
        <f aca="false">F16/E16</f>
        <v>0.296717866532024</v>
      </c>
    </row>
    <row r="17" customFormat="false" ht="15" hidden="false" customHeight="false" outlineLevel="0" collapsed="false">
      <c r="A17" s="9" t="s">
        <v>62</v>
      </c>
      <c r="B17" s="26" t="n">
        <f aca="false">(592/$B$5)^2</f>
        <v>1369</v>
      </c>
      <c r="C17" s="27" t="n">
        <f aca="false">B17^2+$B$9*B17</f>
        <v>12388081</v>
      </c>
      <c r="D17" s="11" t="n">
        <f aca="false">C17/$C$14</f>
        <v>1.86686244381968</v>
      </c>
      <c r="E17" s="11" t="n">
        <f aca="false">D17*$B$8</f>
        <v>3.73372488763937</v>
      </c>
      <c r="F17" s="11" t="n">
        <v>0.772574241863437</v>
      </c>
      <c r="G17" s="11" t="n">
        <v>0.770183849067319</v>
      </c>
      <c r="H17" s="11" t="n">
        <v>0.518534364645396</v>
      </c>
      <c r="I17" s="11" t="n">
        <v>0.373772288752863</v>
      </c>
      <c r="J17" s="11" t="n">
        <f aca="false">F17/E17</f>
        <v>0.206917827401015</v>
      </c>
    </row>
    <row r="18" customFormat="false" ht="15" hidden="false" customHeight="false" outlineLevel="0" collapsed="false">
      <c r="A18" s="9" t="s">
        <v>63</v>
      </c>
      <c r="B18" s="26" t="n">
        <f aca="false">(608/$B$5)^2</f>
        <v>1444</v>
      </c>
      <c r="C18" s="27" t="n">
        <f aca="false">B18^2+$B$9*B18</f>
        <v>13175056</v>
      </c>
      <c r="D18" s="11" t="n">
        <f aca="false">C18/$C$14</f>
        <v>1.98545821920451</v>
      </c>
      <c r="E18" s="11" t="n">
        <f aca="false">D18*$B$8</f>
        <v>3.97091643840901</v>
      </c>
      <c r="F18" s="11" t="n">
        <v>0.823747762730255</v>
      </c>
      <c r="G18" s="11" t="n">
        <v>0.768259163299143</v>
      </c>
      <c r="H18" s="11" t="n">
        <v>0.535189733870206</v>
      </c>
      <c r="I18" s="11" t="n">
        <v>0.373015498763678</v>
      </c>
      <c r="J18" s="11" t="n">
        <f aca="false">F18/E18</f>
        <v>0.207445252376124</v>
      </c>
    </row>
    <row r="19" customFormat="false" ht="15" hidden="false" customHeight="false" outlineLevel="0" collapsed="false">
      <c r="A19" s="14" t="s">
        <v>64</v>
      </c>
      <c r="B19" s="26" t="n">
        <f aca="false">(688/$B$5)^2</f>
        <v>1849</v>
      </c>
      <c r="C19" s="27" t="n">
        <f aca="false">B19^2+$B$9*B19</f>
        <v>17619121</v>
      </c>
      <c r="D19" s="11" t="n">
        <f aca="false">C19/$C$14</f>
        <v>2.65517115104548</v>
      </c>
      <c r="E19" s="11" t="n">
        <f aca="false">D19*$B$8</f>
        <v>5.31034230209097</v>
      </c>
      <c r="F19" s="11" t="n">
        <v>0.844676945854269</v>
      </c>
      <c r="G19" s="11" t="n">
        <v>0.844695959478165</v>
      </c>
      <c r="H19" s="11" t="n">
        <v>0.574054555896384</v>
      </c>
      <c r="I19" s="11" t="n">
        <v>0.43463860993209</v>
      </c>
      <c r="J19" s="11" t="n">
        <f aca="false">F19/E19</f>
        <v>0.159062617398821</v>
      </c>
    </row>
    <row r="21" customFormat="false" ht="15" hidden="false" customHeight="false" outlineLevel="0" collapsed="false">
      <c r="A21" s="7" t="s">
        <v>150</v>
      </c>
    </row>
  </sheetData>
  <conditionalFormatting sqref="D12:D1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2:E1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2:F1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12:G1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2:H1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2:I19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:J19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2026-06-25T14:09:48Z</dcterms:created>
  <dc:creator>openpyxl</dc:creator>
  <dc:description/>
  <dc:language>en-US</dc:language>
  <cp:lastModifiedBy/>
  <dcterms:modified xsi:type="dcterms:W3CDTF">2026-06-25T14:09:48Z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